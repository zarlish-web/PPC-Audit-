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ecisions" sheetId="2" state="visible" r:id="rId4"/>
    <sheet name="Live Set" sheetId="3" state="visible" r:id="rId5"/>
    <sheet name="Core Term Test" sheetId="4" state="visible" r:id="rId6"/>
    <sheet name="Search Terms" sheetId="5" state="visible" r:id="rId7"/>
    <sheet name="Rebuild Plan" sheetId="6" state="visible" r:id="rId8"/>
    <sheet name="Approvals" sheetId="7" state="visible" r:id="rId9"/>
    <sheet name="Campaigns" sheetId="8" state="visible" r:id="rId10"/>
    <sheet name="Spend Mix" sheetId="9" state="visible" r:id="rId11"/>
    <sheet name="Placements" sheetId="10" state="visible" r:id="rId12"/>
    <sheet name="Stop List" sheetId="11" state="visible" r:id="rId13"/>
    <sheet name="Rules" sheetId="12" state="visible" r:id="rId14"/>
  </sheets>
  <definedNames>
    <definedName function="false" hidden="true" localSheetId="7" name="_xlnm._FilterDatabase" vbProcedure="false">Campaigns!$A$5:$AY$45</definedName>
    <definedName function="false" hidden="true" localSheetId="1" name="_xlnm._FilterDatabase" vbProcedure="false">Decisions!$A$26:$AA$66</definedName>
    <definedName function="false" hidden="true" localSheetId="4" name="_xlnm._FilterDatabase" vbProcedure="false">'Search Terms'!$A$4:$O$137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27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28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29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30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31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32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33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34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35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36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37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38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39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40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41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42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43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44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45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46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47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48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49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50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51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52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53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54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55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56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57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58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59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60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61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62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63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64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65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  <comment ref="N66" authorId="0">
      <text>
        <r>
          <rPr>
            <sz val="10"/>
            <rFont val="Arial"/>
            <family val="2"/>
          </rPr>
          <t xml:space="preserve">Measured: orders on Top of Search + product pages + rest of search (Amazon placement report, campaign grain).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Bid snapshot, Ecotero Command Center, 22 Oct 2026 (bohemian blanket: 16 Oct, the last day it ran).</t>
        </r>
      </text>
    </comment>
    <comment ref="G6" authorId="0">
      <text>
        <r>
          <rPr>
            <sz val="10"/>
            <rFont val="Arial"/>
            <family val="2"/>
          </rPr>
          <t xml:space="preserve">Bid snapshot, Ecotero Command Center, 22 Oct 2026 (bohemian blanket: 16 Oct, the last day it ran).</t>
        </r>
      </text>
    </comment>
    <comment ref="G7" authorId="0">
      <text>
        <r>
          <rPr>
            <sz val="10"/>
            <rFont val="Arial"/>
            <family val="2"/>
          </rPr>
          <t xml:space="preserve">Bid snapshot, Ecotero Command Center, 22 Oct 2026 (bohemian blanket: 16 Oct, the last day it ran).</t>
        </r>
      </text>
    </comment>
    <comment ref="H5" authorId="0">
      <text>
        <r>
          <rPr>
            <sz val="10"/>
            <rFont val="Arial"/>
            <family val="2"/>
          </rPr>
          <t xml:space="preserve">Top of Search modifier as of 22 Oct 2026 (Command Center / DataDive). Bidding strategy: Fixed bids.</t>
        </r>
      </text>
    </comment>
    <comment ref="H6" authorId="0">
      <text>
        <r>
          <rPr>
            <sz val="10"/>
            <rFont val="Arial"/>
            <family val="2"/>
          </rPr>
          <t xml:space="preserve">Top of Search modifier as of 22 Oct 2026 (Command Center / DataDive). Bidding strategy: Fixed bids.</t>
        </r>
      </text>
    </comment>
    <comment ref="H7" authorId="0">
      <text>
        <r>
          <rPr>
            <sz val="10"/>
            <rFont val="Arial"/>
            <family val="2"/>
          </rPr>
          <t xml:space="preserve">Top of Search modifier as of 22 Oct 2026 (Command Center / DataDive). Bidding strategy: Fixed bids.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Blue values: weekly SQP sums, Ecotero Command Center sqp_weekly (by query, our 6 live child ASINs), weeks starting 23 Aug to 11 Oct 2026. Weeks where a query fell out of our SQP rows are not counted (see Weeks).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6" authorId="0">
      <text>
        <r>
          <rPr>
            <sz val="10"/>
            <rFont val="Arial"/>
            <family val="2"/>
          </rPr>
          <t xml:space="preserve">Sum of daily budgets of campaigns ENABLED today.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Arial"/>
            <family val="2"/>
          </rPr>
          <t xml:space="preserve">Daily placement split, Ecotero Command Center (ppc_placements, all keywords), clicks.</t>
        </r>
      </text>
    </comment>
    <comment ref="D5" authorId="0">
      <text>
        <r>
          <rPr>
            <sz val="10"/>
            <rFont val="Arial"/>
            <family val="2"/>
          </rPr>
          <t xml:space="preserve">Measured: Amazon placement report at campaign grain (orders = CVR x clicks per campaign), summed over 40 campaigns. Ecotero Command Center.</t>
        </r>
      </text>
    </comment>
    <comment ref="D6" authorId="0">
      <text>
        <r>
          <rPr>
            <sz val="10"/>
            <rFont val="Arial"/>
            <family val="2"/>
          </rPr>
          <t xml:space="preserve">Measured: Amazon placement report at campaign grain (orders = CVR x clicks per campaign), summed over 40 campaigns. Ecotero Command Center.</t>
        </r>
      </text>
    </comment>
    <comment ref="D7" authorId="0">
      <text>
        <r>
          <rPr>
            <sz val="10"/>
            <rFont val="Arial"/>
            <family val="2"/>
          </rPr>
          <t xml:space="preserve">Measured: Amazon placement report at campaign grain (orders = CVR x clicks per campaign), summed over 40 campaigns. Ecotero Command Center.</t>
        </r>
      </text>
    </comment>
  </commentList>
</comments>
</file>

<file path=xl/sharedStrings.xml><?xml version="1.0" encoding="utf-8"?>
<sst xmlns="http://schemas.openxmlformats.org/spreadsheetml/2006/main" count="2065" uniqueCount="1003">
  <si>
    <t xml:space="preserve">Sleephoria Boho Throw Blanket: PPC clean-up, hard cap and rebuild plan</t>
  </si>
  <si>
    <t xml:space="preserve">For Shayan Rana, with Joseph Fisher  |  Data as of 22 Oct 2026  |  Parent ASIN B0HGLF8X5Q, Amazon US</t>
  </si>
  <si>
    <t xml:space="preserve">Verdict</t>
  </si>
  <si>
    <t xml:space="preserve">Conversion is too low to buy traffic, so the account holds: only campaigns generating orders stay live ('bohemian throw blanket' and 'bohemian blanket', bids unchanged, top-of-search boosts capped at +300%) plus brand defence, inside a $25 a day ceiling. Every other campaign is paused, but not deleted: core terms with real demand are kept for a retest, mixed campaigns are rebuilt cleanly, and wrong-intent terms become negatives. The new campaign structure is built from scratch only after the listing and the other fixes pass their gates (Rebuild Plan tab).</t>
  </si>
  <si>
    <t xml:space="preserve">Key numbers</t>
  </si>
  <si>
    <t xml:space="preserve">Metric</t>
  </si>
  <si>
    <t xml:space="preserve">Since launch</t>
  </si>
  <si>
    <t xml:space="preserve">Last 30 days</t>
  </si>
  <si>
    <t xml:space="preserve">Last 15 days</t>
  </si>
  <si>
    <t xml:space="preserve">Note</t>
  </si>
  <si>
    <t xml:space="preserve">Ad spend</t>
  </si>
  <si>
    <t xml:space="preserve">Clicks</t>
  </si>
  <si>
    <t xml:space="preserve">Orders</t>
  </si>
  <si>
    <t xml:space="preserve">Recent windows still filling in (7-day attribution)</t>
  </si>
  <si>
    <t xml:space="preserve">Ad sales</t>
  </si>
  <si>
    <t xml:space="preserve">Cost per click</t>
  </si>
  <si>
    <t xml:space="preserve">Plan base bid $0.45 to $0.50</t>
  </si>
  <si>
    <t xml:space="preserve">Conversion (orders / clicks)</t>
  </si>
  <si>
    <t xml:space="preserve">Market CVR on boho searches about 1.3% to 2.4% (SQP)</t>
  </si>
  <si>
    <t xml:space="preserve">ACoS</t>
  </si>
  <si>
    <t xml:space="preserve">Break-even about 12.6% (Rules tab)</t>
  </si>
  <si>
    <t xml:space="preserve">Spend per order</t>
  </si>
  <si>
    <t xml:space="preserve">Contribution per unit $3.44 to $4.37</t>
  </si>
  <si>
    <t xml:space="preserve">Wasted ad spend</t>
  </si>
  <si>
    <t xml:space="preserve">Measure</t>
  </si>
  <si>
    <t xml:space="preserve">Amount</t>
  </si>
  <si>
    <t xml:space="preserve">Spend on search terms that never produced an order (since launch)</t>
  </si>
  <si>
    <t xml:space="preserve">Search Terms tab</t>
  </si>
  <si>
    <t xml:space="preserve">Share of all search-term spend</t>
  </si>
  <si>
    <t xml:space="preserve">Spend on campaigns with 0 orders since launch</t>
  </si>
  <si>
    <t xml:space="preserve">Decisions tab, 'Wasted spend' column</t>
  </si>
  <si>
    <t xml:space="preserve">Ad loss since launch (spend minus contribution earned on ad orders)</t>
  </si>
  <si>
    <t xml:space="preserve">Contribution is an estimate until D8</t>
  </si>
  <si>
    <t xml:space="preserve">Last 30 days: spend on campaigns now paused or kept paused</t>
  </si>
  <si>
    <t xml:space="preserve">This is the spend the pause list removes</t>
  </si>
  <si>
    <t xml:space="preserve">Expected spend per month after the change</t>
  </si>
  <si>
    <t xml:space="preserve">3 live campaigns, limited by search volume</t>
  </si>
  <si>
    <t xml:space="preserve">Maximum possible spend per month (budgets fully used)</t>
  </si>
  <si>
    <t xml:space="preserve">$25 a day ceiling (Phase 0 / D4)</t>
  </si>
  <si>
    <t xml:space="preserve">Expected cut vs the last 30 days</t>
  </si>
  <si>
    <t xml:space="preserve">Decision summary (all 40 campaigns; SP exact and product targeting are the only ad types running)</t>
  </si>
  <si>
    <t xml:space="preserve">Decision category</t>
  </si>
  <si>
    <t xml:space="preserve">Campaigns</t>
  </si>
  <si>
    <t xml:space="preserve">Live after the change</t>
  </si>
  <si>
    <t xml:space="preserve">Spend since launch</t>
  </si>
  <si>
    <t xml:space="preserve">Orders since launch</t>
  </si>
  <si>
    <t xml:space="preserve">Spend, last 30 days</t>
  </si>
  <si>
    <t xml:space="preserve">How each campaign was judged</t>
  </si>
  <si>
    <t xml:space="preserve">1 RETAIN: orders on Amazon in the last 30 days and a cart-add rate in line with the market. Stays live with bids cut to what a click is worth.</t>
  </si>
  <si>
    <t xml:space="preserve">2 ADJUST: kept live for protection (brand defence); settings brought inside the plan's limits.</t>
  </si>
  <si>
    <t xml:space="preserve">3 RETEST AFTER REBUILD: real demand and the right intent, but the current page does not convert it (or no recent orders). Paused, not negated; first in line for the new structure with a pass mark.</t>
  </si>
  <si>
    <t xml:space="preserve">4 RESTRUCTURE IN REBUILD: useful keywords stuck in a badly built campaign (mixed intents, wrong SKU, wrong size). Paused now; rebuilt correctly later.</t>
  </si>
  <si>
    <t xml:space="preserve">5 PAUSE (wasted spend): no orders on Amazon after enough clicks, or the wrong product, size or colour. Paused; the search terms become negatives in the rebuild.</t>
  </si>
  <si>
    <t xml:space="preserve">Core terms were not paused on click count alone: each was checked for what a click is worth, bids and modifiers, placement results, relevance and the market's conversion on that search (Core Term Test tab).</t>
  </si>
  <si>
    <t xml:space="preserve">What changed from the last version</t>
  </si>
  <si>
    <t xml:space="preserve">3 campaigns live with bids held (no tests). Budgets $10 / $10 / $5 = $25 a day, the Phase 0 / D4 ceiling, so no campaign runs out after one or two top-of-search clicks; expected spend stays about $3 to $5 a day because these terms are small. Top-of-search boosts on 'bohemian blanket' (+450%) and brand defence (+380%) come down to +300%.</t>
  </si>
  <si>
    <t xml:space="preserve">Off-Amazon investigated (Placements tab): a 2-week burst on idle budgets, not an account switch-off.</t>
  </si>
  <si>
    <t xml:space="preserve">What to do now (Shayan, after Joseph approves on the Approvals tab)</t>
  </si>
  <si>
    <t xml:space="preserve">1. Set the portfolio budget on 'SLEEPHORIA - Boho Blanket' to $25 a day (the Phase 0 / D4 ceiling).</t>
  </si>
  <si>
    <t xml:space="preserve">2. Upload the bulk file: 3 campaigns enabled ($10 / $10 / $5), 37 paused, 2 top-of-search boost rows (+300%). Nothing is archived or deleted.</t>
  </si>
  <si>
    <t xml:space="preserve">3. After a day, check 'bohemian blanket' is getting impressions (its keyword may also be paused) and check the Off-Amazon setting on the 3 live campaigns.</t>
  </si>
  <si>
    <t xml:space="preserve">4. Leave everything for 14 days. Next review: 5 Nov, the day before the rebuilt listing goes live.</t>
  </si>
  <si>
    <t xml:space="preserve">5. Track the gates on the Rebuild Plan tab. Build the new structure only when every gate passes.</t>
  </si>
  <si>
    <t xml:space="preserve">Tabs</t>
  </si>
  <si>
    <t xml:space="preserve">Decisions: every campaign with its category, data and reasoning.   Live Set: hold settings, budgets and the $25 ceiling.   Core Term Test: SQP evidence for core terms and the 'boho throw blanket' deep dive.</t>
  </si>
  <si>
    <t xml:space="preserve">Search Terms: all 133 terms with wasted spend and rebuild treatment.   Rebuild Plan: gates, target structure, rules, timeline.   Approvals: decisions for Joseph.   Placements: includes the Off-Amazon investigation.</t>
  </si>
  <si>
    <t xml:space="preserve">Campaigns: full metrics and checks.   Spend Mix, Placements, Stop List: supporting views.   Rules: every input (blue) behind the numbers.</t>
  </si>
  <si>
    <t xml:space="preserve">Sources and caveats</t>
  </si>
  <si>
    <t xml:space="preserve">Ecotero Command Center (campaigns, search terms, placements, SQP), DataDive (state, budgets, modifiers), 22 Oct 2026; boho decision pack, 19 Oct 2026 (contribution is an estimate until D8); config/thresholds.yml in this repo.</t>
  </si>
  <si>
    <t xml:space="preserve">Sales take up to 7 days to be credited. SQP is a sample. Off-Amazon orders are implied. Nothing in the ad account was changed by this review.</t>
  </si>
  <si>
    <t xml:space="preserve">Campaign-by-campaign decision: retain, adjust, retest, restructure or pause</t>
  </si>
  <si>
    <t xml:space="preserve">Every boho campaign, all ad types and match types. Numbers are looked up from the Campaigns and Search Terms tabs. Yellow column is for you.</t>
  </si>
  <si>
    <t xml:space="preserve">Ad type and match type coverage</t>
  </si>
  <si>
    <t xml:space="preserve">Ad type / match type</t>
  </si>
  <si>
    <t xml:space="preserve">Enabled now</t>
  </si>
  <si>
    <t xml:space="preserve">Sponsored Products: Exact keyword</t>
  </si>
  <si>
    <t xml:space="preserve">All keyword campaigns are exact</t>
  </si>
  <si>
    <t xml:space="preserve">Sponsored Products: Product targeting (ASIN)</t>
  </si>
  <si>
    <t xml:space="preserve">All advertise Bouquet 60x80</t>
  </si>
  <si>
    <t xml:space="preserve">Sponsored Products: Phrase</t>
  </si>
  <si>
    <t xml:space="preserve">None exist</t>
  </si>
  <si>
    <t xml:space="preserve">Sponsored Products: Broad</t>
  </si>
  <si>
    <t xml:space="preserve">Sponsored Products: Auto</t>
  </si>
  <si>
    <t xml:space="preserve">Sponsored Brands (headline)</t>
  </si>
  <si>
    <t xml:space="preserve">None exist (no brand assets yet)</t>
  </si>
  <si>
    <t xml:space="preserve">Sponsored Brands Video</t>
  </si>
  <si>
    <t xml:space="preserve">None exist (no product video yet)</t>
  </si>
  <si>
    <t xml:space="preserve">Sponsored Display</t>
  </si>
  <si>
    <t xml:space="preserve">Source: Command Center lists 40 campaigns for this product, all Sponsored Products (30 exact, 10 product targeting); DataDive's campaign list matches; the decision pack records 0% Sponsored Brands and Display. Nothing else to pause.</t>
  </si>
  <si>
    <t xml:space="preserve">Summary by decision</t>
  </si>
  <si>
    <t xml:space="preserve">Orders, last 30 days</t>
  </si>
  <si>
    <t xml:space="preserve">Spend on zero-order campaigns since launch</t>
  </si>
  <si>
    <t xml:space="preserve">1 RETAIN (generating orders)</t>
  </si>
  <si>
    <t xml:space="preserve">2 ADJUST (bid / placement)</t>
  </si>
  <si>
    <t xml:space="preserve">3 RETEST AFTER REBUILD</t>
  </si>
  <si>
    <t xml:space="preserve">4 RESTRUCTURE IN REBUILD</t>
  </si>
  <si>
    <t xml:space="preserve">5 PAUSE (wasted spend)</t>
  </si>
  <si>
    <t xml:space="preserve">TOTAL</t>
  </si>
  <si>
    <t xml:space="preserve">Campaign list (sorted by decision, then spend)</t>
  </si>
  <si>
    <t xml:space="preserve">Campaign</t>
  </si>
  <si>
    <t xml:space="preserve">Campaign ID</t>
  </si>
  <si>
    <t xml:space="preserve">Ad type / match</t>
  </si>
  <si>
    <t xml:space="preserve">Main keyword or ASIN</t>
  </si>
  <si>
    <t xml:space="preserve">State now</t>
  </si>
  <si>
    <t xml:space="preserve">New state</t>
  </si>
  <si>
    <t xml:space="preserve">Clicks since launch</t>
  </si>
  <si>
    <t xml:space="preserve">ACoS since launch</t>
  </si>
  <si>
    <t xml:space="preserve">CPC since launch</t>
  </si>
  <si>
    <t xml:space="preserve">On-Amazon clicks</t>
  </si>
  <si>
    <t xml:space="preserve">On-Amazon orders</t>
  </si>
  <si>
    <t xml:space="preserve">Clicks, last 30 days</t>
  </si>
  <si>
    <t xml:space="preserve">Wasted spend (campaign had 0 orders)</t>
  </si>
  <si>
    <t xml:space="preserve">TOS modifier</t>
  </si>
  <si>
    <t xml:space="preserve">Search volume</t>
  </si>
  <si>
    <t xml:space="preserve">Relevancy</t>
  </si>
  <si>
    <t xml:space="preserve">Organic rank</t>
  </si>
  <si>
    <t xml:space="preserve">Action</t>
  </si>
  <si>
    <t xml:space="preserve">Why (data)</t>
  </si>
  <si>
    <t xml:space="preserve">In the rebuild</t>
  </si>
  <si>
    <t xml:space="preserve">Approver</t>
  </si>
  <si>
    <t xml:space="preserve">Done? (Y/N)</t>
  </si>
  <si>
    <t xml:space="preserve">bohemian throw blanket</t>
  </si>
  <si>
    <t xml:space="preserve">271118311398471</t>
  </si>
  <si>
    <t xml:space="preserve">Keep live. Bid unchanged ($0.52); TOS +280% unchanged; budget $9.41 to $10 a day</t>
  </si>
  <si>
    <t xml:space="preserve">Only live core term still converting: 4 on-Amazon orders since launch, 1 in the last 30 days. SQP cart adds in line with the market (3 on 24 clicks vs 3.2 expected). ACoS 85%. Held as is (no bid test); the budget covers about 6 top-of-search clicks a day at its real CPC ($1.72).</t>
  </si>
  <si>
    <t xml:space="preserve">Core exact, single keyword, Butterfly 50x60</t>
  </si>
  <si>
    <t xml:space="preserve">Joseph approves; Shayan applies</t>
  </si>
  <si>
    <t xml:space="preserve">bohemian blanket</t>
  </si>
  <si>
    <t xml:space="preserve">274384612784893</t>
  </si>
  <si>
    <t xml:space="preserve">Re-enable. Bid unchanged ($0.69); TOS +450% to +300%; budget $10 a day</t>
  </si>
  <si>
    <t xml:space="preserve">Best converter on the product: 2 orders on 50 clicks (4.0%), both in the last 30 days, ACoS 72%. It was paused on early-September data. TOS +450% let it pay up to $3.80 a click; +300% caps that at $2.76.</t>
  </si>
  <si>
    <t xml:space="preserve">Core exact, single keyword</t>
  </si>
  <si>
    <t xml:space="preserve">sleephoria boho throw blanket</t>
  </si>
  <si>
    <t xml:space="preserve">94080520861158</t>
  </si>
  <si>
    <t xml:space="preserve">Keep live. Bid unchanged ($0.68); TOS +380% to +300%; budget $11.32 to $5 a day</t>
  </si>
  <si>
    <t xml:space="preserve">Own-brand searches: 4 clicks, $1.38 since launch. Cheap protection for the listing, but the modifier is above the plan's +300% cap.</t>
  </si>
  <si>
    <t xml:space="preserve">Brand defence SP exact; add a Sponsored Brands headline once brand assets exist</t>
  </si>
  <si>
    <t xml:space="preserve">boho throw blankets for couch</t>
  </si>
  <si>
    <t xml:space="preserve">240955455575163</t>
  </si>
  <si>
    <t xml:space="preserve">Pause now; retest after the rebuild</t>
  </si>
  <si>
    <t xml:space="preserve">5 orders since launch, but 4 came from Off-Amazon traffic (422 of 476 clicks), which has stopped. On Amazon: 1 order on 54 clicks, and 0 orders on 31 clicks ($45) in the last 30 days. SQP cart adds are fine (3 on 23 clicks), so the term fits; the page does not close.</t>
  </si>
  <si>
    <t xml:space="preserve">Couch-intent exact, Butterfly 50x60</t>
  </si>
  <si>
    <t xml:space="preserve">boho blanket</t>
  </si>
  <si>
    <t xml:space="preserve">131359054806082</t>
  </si>
  <si>
    <t xml:space="preserve">Keep paused; retest after the rebuild</t>
  </si>
  <si>
    <t xml:space="preserve">3 orders on 185 on-Amazon clicks (1.6%), all from product pages; ACoS 156% on a $40 a day budget. SQP cart adds are normal for the market (3 on 29 vs 3.4 expected), so the term fits; the old page does not close. Large demand (4,932 a month): worth retesting on the new page, not worth paying for on the old one.</t>
  </si>
  <si>
    <t xml:space="preserve">boho throw</t>
  </si>
  <si>
    <t xml:space="preserve">143967856454663</t>
  </si>
  <si>
    <t xml:space="preserve">Keep paused; retest first after the rebuild</t>
  </si>
  <si>
    <t xml:space="preserve">3 orders on 125 clicks (2.4%), all at Top of Search; ACoS 115%. The closest of the core terms to break-even, but no orders since September and SQP shows 1 cart add on 34 clicks vs about 3.9 expected.</t>
  </si>
  <si>
    <t xml:space="preserve">boho throw blanket</t>
  </si>
  <si>
    <t xml:space="preserve">136479271696362</t>
  </si>
  <si>
    <t xml:space="preserve">Keep paused. Do not negate. First exact test after the rebuild at the worth-based bid</t>
  </si>
  <si>
    <t xml:space="preserve">Hero term (9,420 searches a month; organic rank about 99). 42 clicks, 0 orders, $39. SQP: 0 add-to-carts on 38 clicks where the market rate (13%) predicts about 5, a chance of about 0.5%. The listing is not converting this search, and a lower bid cannot fix that. It paid $0.94 a click (Top of Search $1.33 at +300%) against about $0.17 a click is worth at the market's 1.6% CVR. Full workings: Core Term Test tab.</t>
  </si>
  <si>
    <t xml:space="preserve">Core exact, single keyword, Butterfly 50x60. Pass mark: 2+ cart adds per 20 clicks, 1+ order per 50 clicks</t>
  </si>
  <si>
    <t xml:space="preserve">boho cotton blanket</t>
  </si>
  <si>
    <t xml:space="preserve">153632991648836</t>
  </si>
  <si>
    <t xml:space="preserve">1 order on 35 clicks (Top of Search); rated Highly Relevant; organic rank about 55. Too little data to justify spend before the page is fixed.</t>
  </si>
  <si>
    <t xml:space="preserve">Material lane exact</t>
  </si>
  <si>
    <t xml:space="preserve">rustic floral boho blanket</t>
  </si>
  <si>
    <t xml:space="preserve">122105077616953</t>
  </si>
  <si>
    <t xml:space="preserve">1 order on 7 clicks since launch; 0 orders on 4 clicks at $1.73 a click in the last 30 days. Too few clicks to judge, and it advertises Bouquet 50x60, the weakest pattern.</t>
  </si>
  <si>
    <t xml:space="preserve">Design lane (vintage floral), Bloom or Bouquet</t>
  </si>
  <si>
    <t xml:space="preserve">boho king size blanket</t>
  </si>
  <si>
    <t xml:space="preserve">43669682187702</t>
  </si>
  <si>
    <t xml:space="preserve">Pause now. In the rebuild: negate king terms; move the 60x80 size terms to a size lane on the 60x80 SKU</t>
  </si>
  <si>
    <t xml:space="preserve">All 9 orders came from Off-Amazon (1,027 of 1,063 clicks), which stopped in late September. On Amazon: 0 orders on 36 clicks; bid $0.97 x +413% = up to $4.98 a click; the largest budget ($30). It mixes king-size terms (wrong size for a 60x80 throw) with 'boho blanket 60x 80' (the right size; organic rank 32).</t>
  </si>
  <si>
    <t xml:space="preserve">Size lane exact (60x80, 50x60), SKU-matched</t>
  </si>
  <si>
    <t xml:space="preserve">B0BLRBXBX5</t>
  </si>
  <si>
    <t xml:space="preserve">103168292442380</t>
  </si>
  <si>
    <t xml:space="preserve">b0blrbxbx5</t>
  </si>
  <si>
    <t xml:space="preserve">Pause now; rebuild as a size- and price-matched product-targeting lane</t>
  </si>
  <si>
    <t xml:space="preserve">The only competitor target with an order: 1 on 67 clicks, $103 per order, $1.54 a click, 90% of spend at Top of Search (+280%). All 10 product-targeting campaigns advertise Bouquet 60x80 whatever the competitor's size or price (MSGKV 60x80 sells at $29.99 vs our $34.99).</t>
  </si>
  <si>
    <t xml:space="preserve">PAT by size and price match, Butterfly first, keyword-parity bids</t>
  </si>
  <si>
    <t xml:space="preserve">boho scandinavian cotton blanket</t>
  </si>
  <si>
    <t xml:space="preserve">143960123876477</t>
  </si>
  <si>
    <t xml:space="preserve">Keep paused; split in the rebuild</t>
  </si>
  <si>
    <t xml:space="preserve">5 keywords in one campaign; 1 order on 62 on-Amazon clicks; TOS +450%. 'Scandinavian' does not describe this product.</t>
  </si>
  <si>
    <t xml:space="preserve">'boho cotton throw blanket' to the material lane; drop 'scandinavian'</t>
  </si>
  <si>
    <t xml:space="preserve">throw blanket for couch boho</t>
  </si>
  <si>
    <t xml:space="preserve">269303623430005</t>
  </si>
  <si>
    <t xml:space="preserve">5 keywords mixing couch and bed intent ('blanket boho', 'boho bed throw', 'boho blankets for bed'); 1 order on 26 on-Amazon clicks.</t>
  </si>
  <si>
    <t xml:space="preserve">Couch terms to 50x60, bed terms to 60x80, as separate exact campaigns</t>
  </si>
  <si>
    <t xml:space="preserve">boho couch blanket</t>
  </si>
  <si>
    <t xml:space="preserve">31470852710316</t>
  </si>
  <si>
    <t xml:space="preserve">Pause now; restructure in the rebuild</t>
  </si>
  <si>
    <t xml:space="preserve">Holds 'beach blanket boho' (stop list, wrong product) next to 'boho couch blanket'. 0 orders on 11 clicks; $3.55 a click in the last 15 days; TOS +360%.</t>
  </si>
  <si>
    <t xml:space="preserve">'boho couch blanket' to the couch lane; negate beach terms</t>
  </si>
  <si>
    <t xml:space="preserve">boho blanket throw patterned</t>
  </si>
  <si>
    <t xml:space="preserve">37588435988821</t>
  </si>
  <si>
    <t xml:space="preserve">3 keywords including 'boho reversible throw blanket', a real feature of the product. 0 orders on 2 clicks; TOS +380%.</t>
  </si>
  <si>
    <t xml:space="preserve">Design lane: reversible / tassel phrase campaign</t>
  </si>
  <si>
    <t xml:space="preserve">throw blanket boho</t>
  </si>
  <si>
    <t xml:space="preserve">52789396358241</t>
  </si>
  <si>
    <t xml:space="preserve">Keep paused; drop from the core list</t>
  </si>
  <si>
    <t xml:space="preserve">0 orders on 71 clicks ($63); SQP 1 cart add on 14 clicks. Same intent as 'boho throw blanket', whose retest covers it; no separate campaign needed.</t>
  </si>
  <si>
    <t xml:space="preserve">Covered by the core exact test; negative exact in phrase campaigns</t>
  </si>
  <si>
    <t xml:space="preserve">boho blankets and throws</t>
  </si>
  <si>
    <t xml:space="preserve">73752905509119</t>
  </si>
  <si>
    <t xml:space="preserve">Keep paused</t>
  </si>
  <si>
    <t xml:space="preserve">Stop list. 0 orders on 72 clicks ($62).</t>
  </si>
  <si>
    <t xml:space="preserve">Negative exact</t>
  </si>
  <si>
    <t xml:space="preserve">boho blanket king</t>
  </si>
  <si>
    <t xml:space="preserve">140892082966699</t>
  </si>
  <si>
    <t xml:space="preserve">Pause now</t>
  </si>
  <si>
    <t xml:space="preserve">3 orders, all from Off-Amazon traffic (98 of 128 clicks), which has stopped. On Amazon: 0 orders on 30 clicks. King intent; TOS +356%.</t>
  </si>
  <si>
    <t xml:space="preserve">Negative phrase 'king'</t>
  </si>
  <si>
    <t xml:space="preserve">king size boho blanket</t>
  </si>
  <si>
    <t xml:space="preserve">248203141513937</t>
  </si>
  <si>
    <t xml:space="preserve">0 orders on 23 clicks ($29.74). King-size intent: wrong size for this product; on the pack's exclude list.</t>
  </si>
  <si>
    <t xml:space="preserve">boho picnic blanket</t>
  </si>
  <si>
    <t xml:space="preserve">88375236561649</t>
  </si>
  <si>
    <t xml:space="preserve">Stop list, still running. Wrong product (picnic). 0 orders on 18 clicks ($28); TOS +330%.</t>
  </si>
  <si>
    <t xml:space="preserve">Negative phrase 'picnic'</t>
  </si>
  <si>
    <t xml:space="preserve">boho blanket king size</t>
  </si>
  <si>
    <t xml:space="preserve">201568460000366</t>
  </si>
  <si>
    <t xml:space="preserve">0 orders on 24 clicks ($28). King intent.</t>
  </si>
  <si>
    <t xml:space="preserve">boho blanket throw</t>
  </si>
  <si>
    <t xml:space="preserve">199196980921698</t>
  </si>
  <si>
    <t xml:space="preserve">Stop list. 0 orders on 32 clicks in its campaign; as a search term 0 orders on 98 clicks ($82) across campaigns; SQP 1 cart add on 22 clicks.</t>
  </si>
  <si>
    <t xml:space="preserve">boho throw blanket for bed</t>
  </si>
  <si>
    <t xml:space="preserve">158494562127971</t>
  </si>
  <si>
    <t xml:space="preserve">Stop list. 0 orders on 28 clicks.</t>
  </si>
  <si>
    <t xml:space="preserve">Bed terms only on the 60x80 SKU via phrase discovery</t>
  </si>
  <si>
    <t xml:space="preserve">B0FRF3JGK9</t>
  </si>
  <si>
    <t xml:space="preserve">264225421869119</t>
  </si>
  <si>
    <t xml:space="preserve">b0frf3jgk9</t>
  </si>
  <si>
    <t xml:space="preserve">0 orders on 31 clicks ($25.24). Advertises Bouquet 60x80 regardless of the competitor's size or price.</t>
  </si>
  <si>
    <t xml:space="preserve">Retest only size- and price-matched in the rebuild's PAT lane</t>
  </si>
  <si>
    <t xml:space="preserve">boho blanket throw colorful</t>
  </si>
  <si>
    <t xml:space="preserve">179711585918274</t>
  </si>
  <si>
    <t xml:space="preserve">Colour terms (beige, blue) that do not match the patterns. 0 orders on 79 clicks.</t>
  </si>
  <si>
    <t xml:space="preserve">Negative exact on non-matching colours</t>
  </si>
  <si>
    <t xml:space="preserve">boho blanket queen</t>
  </si>
  <si>
    <t xml:space="preserve">20309127916243</t>
  </si>
  <si>
    <t xml:space="preserve">Stop list. 0 orders on 18 clicks.</t>
  </si>
  <si>
    <t xml:space="preserve">Negative phrase 'queen'</t>
  </si>
  <si>
    <t xml:space="preserve">boho heated blanket</t>
  </si>
  <si>
    <t xml:space="preserve">27058612184707</t>
  </si>
  <si>
    <t xml:space="preserve">Wrong product (heated). 0 orders on 43 clicks.</t>
  </si>
  <si>
    <t xml:space="preserve">Negative phrase 'heated'</t>
  </si>
  <si>
    <t xml:space="preserve">B0F542WLD5</t>
  </si>
  <si>
    <t xml:space="preserve">136043663989806</t>
  </si>
  <si>
    <t xml:space="preserve">b0f542wld5</t>
  </si>
  <si>
    <t xml:space="preserve">0 orders on 33 clicks ($19.32). Advertises Bouquet 60x80 regardless of the competitor's size or price.</t>
  </si>
  <si>
    <t xml:space="preserve">B0F9WSBG6B</t>
  </si>
  <si>
    <t xml:space="preserve">227544042687099</t>
  </si>
  <si>
    <t xml:space="preserve">b0f9wsbg6b</t>
  </si>
  <si>
    <t xml:space="preserve">0 orders on 24 clicks ($15.31). Advertises Bouquet 60x80 regardless of the competitor's size or price.</t>
  </si>
  <si>
    <t xml:space="preserve">B0DHKTZTMN</t>
  </si>
  <si>
    <t xml:space="preserve">198006936823591</t>
  </si>
  <si>
    <t xml:space="preserve">b0dhktztmn</t>
  </si>
  <si>
    <t xml:space="preserve">0 orders on 22 clicks ($12.98). Advertises Bouquet 60x80 regardless of the competitor's size or price. Bailix is the supplier's own brand.</t>
  </si>
  <si>
    <t xml:space="preserve">boho cotton blankets queen size</t>
  </si>
  <si>
    <t xml:space="preserve">4619427091358</t>
  </si>
  <si>
    <t xml:space="preserve">0 orders on 9 clicks. Queen bed-size intent; TOS +380%.</t>
  </si>
  <si>
    <t xml:space="preserve">boho king blanket</t>
  </si>
  <si>
    <t xml:space="preserve">145716739151597</t>
  </si>
  <si>
    <t xml:space="preserve">0 orders on 12 clicks. King intent.</t>
  </si>
  <si>
    <t xml:space="preserve">B0D4HQ4B6Y</t>
  </si>
  <si>
    <t xml:space="preserve">40188236585691</t>
  </si>
  <si>
    <t xml:space="preserve">b0d4hq4b6y</t>
  </si>
  <si>
    <t xml:space="preserve">0 orders on 16 clicks ($9.30). Advertises Bouquet 60x80 regardless of the competitor's size or price.</t>
  </si>
  <si>
    <t xml:space="preserve">B0DRFZ787F</t>
  </si>
  <si>
    <t xml:space="preserve">10400641750207</t>
  </si>
  <si>
    <t xml:space="preserve">b0drfz787f</t>
  </si>
  <si>
    <t xml:space="preserve">0 orders on 13 clicks ($8.41). Advertises Bouquet 60x80 regardless of the competitor's size or price.</t>
  </si>
  <si>
    <t xml:space="preserve">throw blankets for bed boho</t>
  </si>
  <si>
    <t xml:space="preserve">216012309710462</t>
  </si>
  <si>
    <t xml:space="preserve">0 orders on 6 clicks; low volume (386 a month); TOS +380%.</t>
  </si>
  <si>
    <t xml:space="preserve">Bed terms only via phrase discovery</t>
  </si>
  <si>
    <t xml:space="preserve">B0DS28Q1LT</t>
  </si>
  <si>
    <t xml:space="preserve">85219022747841</t>
  </si>
  <si>
    <t xml:space="preserve">b0ds28q1lt</t>
  </si>
  <si>
    <t xml:space="preserve">0 orders on 13 clicks ($7.28). Advertises Bouquet 60x80 regardless of the competitor's size or price.</t>
  </si>
  <si>
    <t xml:space="preserve">boho beach blanket</t>
  </si>
  <si>
    <t xml:space="preserve">64445529912580</t>
  </si>
  <si>
    <t xml:space="preserve">Stop list, still running. Wrong product (beach). TOS +440%, the highest on the product.</t>
  </si>
  <si>
    <t xml:space="preserve">Negative phrase 'beach'</t>
  </si>
  <si>
    <t xml:space="preserve">B0B5XX22J6</t>
  </si>
  <si>
    <t xml:space="preserve">132877072716330</t>
  </si>
  <si>
    <t xml:space="preserve">b0b5xx22j6</t>
  </si>
  <si>
    <t xml:space="preserve">0 orders on 4 clicks ($2.36). Advertises Bouquet 60x80 regardless of the competitor's size or price.</t>
  </si>
  <si>
    <t xml:space="preserve">B0G2RBNQ2X</t>
  </si>
  <si>
    <t xml:space="preserve">61013504041994</t>
  </si>
  <si>
    <t xml:space="preserve">b0g2rbnq2x</t>
  </si>
  <si>
    <t xml:space="preserve">0 orders on 1 clicks ($0.59). Advertises Bouquet 60x80 regardless of the competitor's size or price.</t>
  </si>
  <si>
    <t xml:space="preserve">boho cotton throw blanket no fringe</t>
  </si>
  <si>
    <t xml:space="preserve">194745831752971</t>
  </si>
  <si>
    <t xml:space="preserve">'No fringe' contradicts the product (it has tassels). 1 click.</t>
  </si>
  <si>
    <t xml:space="preserve">Negative phrase 'no fringe'</t>
  </si>
  <si>
    <t xml:space="preserve">What stays live: hold settings, budgets and the $25 a day ceiling</t>
  </si>
  <si>
    <t xml:space="preserve">Only the campaigns generating orders, plus brand defence. Bids are held (no tests). Top-of-search boosts are capped at the plan's +300%. Budgets are sized to cover several clicks a day at the real CPC, so a campaign does not run out after one click.</t>
  </si>
  <si>
    <t xml:space="preserve">On-Amazon orders since launch</t>
  </si>
  <si>
    <t xml:space="preserve">Base bid (held)</t>
  </si>
  <si>
    <t xml:space="preserve">TOS boost now</t>
  </si>
  <si>
    <t xml:space="preserve">TOS boost new</t>
  </si>
  <si>
    <t xml:space="preserve">Max TOS bid now</t>
  </si>
  <si>
    <t xml:space="preserve">Max TOS bid new</t>
  </si>
  <si>
    <t xml:space="preserve">Real CPC, Top of Search</t>
  </si>
  <si>
    <t xml:space="preserve">Real CPC, product page</t>
  </si>
  <si>
    <t xml:space="preserve">Clicks per day (last 30 days)</t>
  </si>
  <si>
    <t xml:space="preserve">Spend per day (last 30 days)</t>
  </si>
  <si>
    <t xml:space="preserve">Daily budget now</t>
  </si>
  <si>
    <t xml:space="preserve">Daily budget new</t>
  </si>
  <si>
    <t xml:space="preserve">TOS clicks the budget covers (real CPC)</t>
  </si>
  <si>
    <t xml:space="preserve">TOS clicks at the max bid</t>
  </si>
  <si>
    <t xml:space="preserve">Product-page clicks the budget covers</t>
  </si>
  <si>
    <t xml:space="preserve">Expected spend per day</t>
  </si>
  <si>
    <t xml:space="preserve">A click is worth (38% target ACoS)</t>
  </si>
  <si>
    <t xml:space="preserve">TOTAL live set</t>
  </si>
  <si>
    <t xml:space="preserve">Ceiling, expected spend and savings</t>
  </si>
  <si>
    <t xml:space="preserve">Hard portfolio ceiling per day (Phase 0 / D4, Rules tab)</t>
  </si>
  <si>
    <t xml:space="preserve">Ceiling per week</t>
  </si>
  <si>
    <t xml:space="preserve">Sum of live campaign budgets per day</t>
  </si>
  <si>
    <t xml:space="preserve">Status</t>
  </si>
  <si>
    <t xml:space="preserve">Expected spend per day (limited by search volume)</t>
  </si>
  <si>
    <t xml:space="preserve">Expected spend per week</t>
  </si>
  <si>
    <t xml:space="preserve">Expected spend per month</t>
  </si>
  <si>
    <t xml:space="preserve">Last 30 days: total spend</t>
  </si>
  <si>
    <t xml:space="preserve">D4 weekly ceiling</t>
  </si>
  <si>
    <t xml:space="preserve">Weekly headroom at full budgets</t>
  </si>
  <si>
    <t xml:space="preserve">Notes</t>
  </si>
  <si>
    <t xml:space="preserve">Budgets are ceilings, not spend targets. These are exact-match terms with about 20 to 25 searches a day each, so actual spend should stay near the last 30 days' rate; the budgets only stop a campaign going out of budget after one or two top-of-search clicks.</t>
  </si>
  <si>
    <t xml:space="preserve">Bids are held as they are (no bid tests). Only the two top-of-search boosts above the plan's +300% are brought down, so a single click can cost at most about $2.76.</t>
  </si>
  <si>
    <t xml:space="preserve">The +450% to +300% and +380% to +300% steps are larger than the 20-point rule in config/thresholds.yml, so they need Joseph's sign-off (in the bulk file as two 'Bidding Adjustment' rows).</t>
  </si>
  <si>
    <t xml:space="preserve">'A click is worth' is for reference only: on the current listing no live campaign earns its clicks back. That is accepted while the account holds until the rebuild.</t>
  </si>
  <si>
    <t xml:space="preserve">Set the $25 ceiling as the 'SLEEPHORIA - Boho Blanket' portfolio budget in the console (the bulk file cannot set it). Then leave everything for 14 days.</t>
  </si>
  <si>
    <t xml:space="preserve">Core terms: is it the bid, the placement, or the listing? (evidence before any pause or bid cut)</t>
  </si>
  <si>
    <t xml:space="preserve">Market columns: Amazon Search Query Performance (Brand Analytics) for the whole search, 23 Aug to 17 Oct (weekly). Ours: our 6 live ASINs. PPC columns: our search-term report since launch. SQP is a sample; read it as rates.</t>
  </si>
  <si>
    <t xml:space="preserve">Search query</t>
  </si>
  <si>
    <t xml:space="preserve">Weeks</t>
  </si>
  <si>
    <t xml:space="preserve">Market searches</t>
  </si>
  <si>
    <t xml:space="preserve">Market impressions</t>
  </si>
  <si>
    <t xml:space="preserve">Market clicks</t>
  </si>
  <si>
    <t xml:space="preserve">Market cart adds</t>
  </si>
  <si>
    <t xml:space="preserve">Market purchases</t>
  </si>
  <si>
    <t xml:space="preserve">Market cart-add rate</t>
  </si>
  <si>
    <t xml:space="preserve">Market CVR</t>
  </si>
  <si>
    <t xml:space="preserve">Our impressions</t>
  </si>
  <si>
    <t xml:space="preserve">Our impression share</t>
  </si>
  <si>
    <t xml:space="preserve">Our clicks</t>
  </si>
  <si>
    <t xml:space="preserve">Our click share</t>
  </si>
  <si>
    <t xml:space="preserve">Our cart adds</t>
  </si>
  <si>
    <t xml:space="preserve">Cart adds expected at market rate</t>
  </si>
  <si>
    <t xml:space="preserve">Chance of this few cart adds</t>
  </si>
  <si>
    <t xml:space="preserve">Our purchases (SQP)</t>
  </si>
  <si>
    <t xml:space="preserve">PPC clicks since launch</t>
  </si>
  <si>
    <t xml:space="preserve">PPC orders</t>
  </si>
  <si>
    <t xml:space="preserve">PPC spend</t>
  </si>
  <si>
    <t xml:space="preserve">CPC paid</t>
  </si>
  <si>
    <t xml:space="preserve">A click is worth (target ACoS, market CVR)</t>
  </si>
  <si>
    <t xml:space="preserve">Break-even CPC (market CVR)</t>
  </si>
  <si>
    <t xml:space="preserve">Paid vs worth</t>
  </si>
  <si>
    <t xml:space="preserve">Read</t>
  </si>
  <si>
    <t xml:space="preserve">Listing problem on this search: 0 cart adds where about 5 were expected. Bid cuts cannot fix it. Keep paused; first retest after the rebuild.</t>
  </si>
  <si>
    <t xml:space="preserve">Cart adds normal for the market; orders came only from product pages. Retest after the rebuild.</t>
  </si>
  <si>
    <t xml:space="preserve">Fewer cart adds than the market (1 vs about 4). Retest first after the rebuild: best PPC CVR of the core terms.</t>
  </si>
  <si>
    <t xml:space="preserve">Few clicks, 1 cart add. Covered by the 'boho throw blanket' retest.</t>
  </si>
  <si>
    <t xml:space="preserve">1 cart add on 22 clicks; 0 PPC orders on 98 clicks. No separate campaign in the rebuild.</t>
  </si>
  <si>
    <t xml:space="preserve">Cart adds in line with the market. Converting in PPC: keep live at a lower bid.</t>
  </si>
  <si>
    <t xml:space="preserve">Small sample; best PPC CVR (4%). Keep live at the worth-based bid.</t>
  </si>
  <si>
    <t xml:space="preserve">boho throws</t>
  </si>
  <si>
    <t xml:space="preserve">1 SQP purchase; 2 PPC orders on 11 clicks. Include in the rebuild's core exact set.</t>
  </si>
  <si>
    <t xml:space="preserve">Cart-add rate is low for the whole market (5%). Material lane, low priority.</t>
  </si>
  <si>
    <t xml:space="preserve">Cart adds normal (3 on 23). Couch lane in the rebuild.</t>
  </si>
  <si>
    <t xml:space="preserve">Deep dive: 'boho throw blanket' (core term, 42 clicks, 0 orders)</t>
  </si>
  <si>
    <t xml:space="preserve">Check</t>
  </si>
  <si>
    <t xml:space="preserve">What the data says</t>
  </si>
  <si>
    <t xml:space="preserve">Conclusion</t>
  </si>
  <si>
    <t xml:space="preserve">Portable CPC (what a click is worth)</t>
  </si>
  <si>
    <t xml:space="preserve">Market CVR 1.64% x average price $30.99 x 38% target ACoS = about $0.19 a click (cell W5). At break-even it is about $0.06. We paid $0.94 on average.</t>
  </si>
  <si>
    <t xml:space="preserve">No bid level makes this term pay on the current page.</t>
  </si>
  <si>
    <t xml:space="preserve">Bid and bid adjustments</t>
  </si>
  <si>
    <t xml:space="preserve">Campaign paused; Fixed bids; TOS modifier +300%; budget $30 a day. Top of Search clicks cost about $1.33, product-page clicks about $0.61 (Command Center, campaign-level split).</t>
  </si>
  <si>
    <t xml:space="preserve">The +300% modifier bought expensive TOS clicks that did not convert.</t>
  </si>
  <si>
    <t xml:space="preserve">Placement performance</t>
  </si>
  <si>
    <t xml:space="preserve">About 18 TOS clicks and 18 product-page clicks, 5 rest-of-search, 0 Off-Amazon; 0 orders in every placement.</t>
  </si>
  <si>
    <t xml:space="preserve">Not a placement mix problem: nothing converted anywhere.</t>
  </si>
  <si>
    <t xml:space="preserve">Search-term relevance</t>
  </si>
  <si>
    <t xml:space="preserve">Rated Relevant; 9,420 searches a month (H10), about 6,000 to 7,000 a week in SQP; 25 of 35 page-one results are natural or woven throws, median $29.69 (pack file 06).</t>
  </si>
  <si>
    <t xml:space="preserve">The term fits the product. Do not negate it.</t>
  </si>
  <si>
    <t xml:space="preserve">Conversion potential</t>
  </si>
  <si>
    <t xml:space="preserve">Market: 13% of clicks add to cart, 1.64% buy. Ours: 0 cart adds on 38 clicks; about 5 expected; chance of 0 by luck about 0.5% (cell P5). Organic rank about 99.</t>
  </si>
  <si>
    <t xml:space="preserve">Shoppers on this search reject our listing before the cart. Fix the page (main image, title, price-to-value, A+), then retest.</t>
  </si>
  <si>
    <t xml:space="preserve">Decision</t>
  </si>
  <si>
    <t xml:space="preserve">Keep paused (already paused). No negative, no archive. First exact campaign in the rebuild at the worth-based bid, Butterfly 50x60.</t>
  </si>
  <si>
    <t xml:space="preserve">Pass mark after the rebuild: 2+ cart adds per 20 clicks and 1+ order per 50 clicks; otherwise stop.</t>
  </si>
  <si>
    <t xml:space="preserve">Every search term since launch: what it cost, what it returned, and what happens to it in the rebuild</t>
  </si>
  <si>
    <t xml:space="preserve">133 terms, 24 Aug to 22 Oct (Command Center). Organic rank is the median over the window (blank when unranked on half or more of the days). 'Status' is a formula; 'Rebuild treatment' is the recommendation.</t>
  </si>
  <si>
    <t xml:space="preserve">Search term</t>
  </si>
  <si>
    <t xml:space="preserve">Relevancy (MKL)</t>
  </si>
  <si>
    <t xml:space="preserve">Search volume / month</t>
  </si>
  <si>
    <t xml:space="preserve">Organic rank (median)</t>
  </si>
  <si>
    <t xml:space="preserve">Impr.</t>
  </si>
  <si>
    <t xml:space="preserve">Spend</t>
  </si>
  <si>
    <t xml:space="preserve">Sales</t>
  </si>
  <si>
    <t xml:space="preserve">CPC</t>
  </si>
  <si>
    <t xml:space="preserve">CVR</t>
  </si>
  <si>
    <t xml:space="preserve">Off-Amazon share of clicks</t>
  </si>
  <si>
    <t xml:space="preserve">Rebuild treatment</t>
  </si>
  <si>
    <t xml:space="preserve">Lower Relevant</t>
  </si>
  <si>
    <t xml:space="preserve">Orders came via Off-Amazon traffic (stopped): do not harvest on Amazon</t>
  </si>
  <si>
    <t xml:space="preserve">Relevant</t>
  </si>
  <si>
    <t xml:space="preserve">Converting: own exact campaign in the rebuild</t>
  </si>
  <si>
    <t xml:space="preserve">Core intent: retest after the rebuild (do not negate)</t>
  </si>
  <si>
    <t xml:space="preserve">boho throw blanket for couch</t>
  </si>
  <si>
    <t xml:space="preserve">Highly Relevant</t>
  </si>
  <si>
    <t xml:space="preserve">Negative in the rebuild (wrong size, product or colour)</t>
  </si>
  <si>
    <t xml:space="preserve">cotton boho blanket</t>
  </si>
  <si>
    <t xml:space="preserve">Test lane in the rebuild (design / material / size)</t>
  </si>
  <si>
    <t xml:space="preserve">blue boho throw blanket</t>
  </si>
  <si>
    <t xml:space="preserve">Not Relevant</t>
  </si>
  <si>
    <t xml:space="preserve">Product target: retest only size- and price-matched; negate if 0 orders again</t>
  </si>
  <si>
    <t xml:space="preserve">boho cotton throw blanket</t>
  </si>
  <si>
    <t xml:space="preserve">bohemian blankets</t>
  </si>
  <si>
    <t xml:space="preserve">boho blanket 60x 80</t>
  </si>
  <si>
    <t xml:space="preserve">boho scandinavian cotton blankets</t>
  </si>
  <si>
    <t xml:space="preserve">king boho blanket</t>
  </si>
  <si>
    <t xml:space="preserve">boho blankets queen</t>
  </si>
  <si>
    <t xml:space="preserve">boho bed throws</t>
  </si>
  <si>
    <t xml:space="preserve">boho blankets king size</t>
  </si>
  <si>
    <t xml:space="preserve">throw blanket</t>
  </si>
  <si>
    <t xml:space="preserve">Negative exact (too broad for this listing)</t>
  </si>
  <si>
    <t xml:space="preserve">boho blankets</t>
  </si>
  <si>
    <t xml:space="preserve">floral quilt</t>
  </si>
  <si>
    <t xml:space="preserve">blanket boho</t>
  </si>
  <si>
    <t xml:space="preserve">boho blanket for bed</t>
  </si>
  <si>
    <t xml:space="preserve">boho throw blankets</t>
  </si>
  <si>
    <t xml:space="preserve">quilt blanket</t>
  </si>
  <si>
    <t xml:space="preserve">quilted throw</t>
  </si>
  <si>
    <t xml:space="preserve">beach blanket boho</t>
  </si>
  <si>
    <t xml:space="preserve">throw blankets boho</t>
  </si>
  <si>
    <t xml:space="preserve">blue boho blanket</t>
  </si>
  <si>
    <t xml:space="preserve">green throw blanket</t>
  </si>
  <si>
    <t xml:space="preserve">bohemian throw blankets</t>
  </si>
  <si>
    <t xml:space="preserve">boho cotton blanket queen</t>
  </si>
  <si>
    <t xml:space="preserve">boho blankets for bed</t>
  </si>
  <si>
    <t xml:space="preserve">100 cotton blanket</t>
  </si>
  <si>
    <t xml:space="preserve">bohemian quilt</t>
  </si>
  <si>
    <t xml:space="preserve">butterfly throw blanket</t>
  </si>
  <si>
    <t xml:space="preserve">couch throw</t>
  </si>
  <si>
    <t xml:space="preserve">eddie bauer throw</t>
  </si>
  <si>
    <t xml:space="preserve">minky blanket</t>
  </si>
  <si>
    <t xml:space="preserve">orange quilt</t>
  </si>
  <si>
    <t xml:space="preserve">throw blanket cotton</t>
  </si>
  <si>
    <t xml:space="preserve">totoro blanket</t>
  </si>
  <si>
    <t xml:space="preserve">western blanket for bed</t>
  </si>
  <si>
    <t xml:space="preserve">luxury throw</t>
  </si>
  <si>
    <t xml:space="preserve">throws for chairs</t>
  </si>
  <si>
    <t xml:space="preserve">tommy hilfiger throw blanket</t>
  </si>
  <si>
    <t xml:space="preserve">nordic blanket</t>
  </si>
  <si>
    <t xml:space="preserve">60x80 cotton throw</t>
  </si>
  <si>
    <t xml:space="preserve">boho bed throw</t>
  </si>
  <si>
    <t xml:space="preserve">decorative throw blanket</t>
  </si>
  <si>
    <t xml:space="preserve">blanket throws for couch</t>
  </si>
  <si>
    <t xml:space="preserve">100% cotton boho blanket king</t>
  </si>
  <si>
    <t xml:space="preserve">cotton quilt throw</t>
  </si>
  <si>
    <t xml:space="preserve">tropical throw blanket</t>
  </si>
  <si>
    <t xml:space="preserve">throw blanket bed boho</t>
  </si>
  <si>
    <t xml:space="preserve">big boho blanket</t>
  </si>
  <si>
    <t xml:space="preserve">boho floral cotton blanket</t>
  </si>
  <si>
    <t xml:space="preserve">queen blanket</t>
  </si>
  <si>
    <t xml:space="preserve">boho king size blankets</t>
  </si>
  <si>
    <t xml:space="preserve">cotton boho blankets</t>
  </si>
  <si>
    <t xml:space="preserve">couch quilt</t>
  </si>
  <si>
    <t xml:space="preserve">soft boho throw blanket</t>
  </si>
  <si>
    <t xml:space="preserve">boho blanket throws</t>
  </si>
  <si>
    <t xml:space="preserve">throw blanket floral</t>
  </si>
  <si>
    <t xml:space="preserve">boho soft blanket</t>
  </si>
  <si>
    <t xml:space="preserve">Branded</t>
  </si>
  <si>
    <t xml:space="preserve">Brand defence: keep</t>
  </si>
  <si>
    <t xml:space="preserve">bohemian gifts</t>
  </si>
  <si>
    <t xml:space="preserve">boho beach blankets</t>
  </si>
  <si>
    <t xml:space="preserve">quilts blanket</t>
  </si>
  <si>
    <t xml:space="preserve">vintage throw</t>
  </si>
  <si>
    <t xml:space="preserve">boho blanket queen size</t>
  </si>
  <si>
    <t xml:space="preserve">boho quilt</t>
  </si>
  <si>
    <t xml:space="preserve">patchwork blanket</t>
  </si>
  <si>
    <t xml:space="preserve">reversible boho blanket with patterns</t>
  </si>
  <si>
    <t xml:space="preserve">anthro throw blanket</t>
  </si>
  <si>
    <t xml:space="preserve">boho reversible throw blanket</t>
  </si>
  <si>
    <t xml:space="preserve">100% cotton muslin quilt</t>
  </si>
  <si>
    <t xml:space="preserve">throw blanket for bed boho</t>
  </si>
  <si>
    <t xml:space="preserve">blankets boho</t>
  </si>
  <si>
    <t xml:space="preserve">cotton throws</t>
  </si>
  <si>
    <t xml:space="preserve">decorative sofa throw</t>
  </si>
  <si>
    <t xml:space="preserve">fall quilt twin</t>
  </si>
  <si>
    <t xml:space="preserve">mustard yellow blanket</t>
  </si>
  <si>
    <t xml:space="preserve">porch blanket</t>
  </si>
  <si>
    <t xml:space="preserve">quilt only</t>
  </si>
  <si>
    <t xml:space="preserve">throws 60x80</t>
  </si>
  <si>
    <t xml:space="preserve">twin size cotton quilt</t>
  </si>
  <si>
    <t xml:space="preserve">vintage throw blankets</t>
  </si>
  <si>
    <t xml:space="preserve">boho throw blankets for bed</t>
  </si>
  <si>
    <t xml:space="preserve">boho blanket 60 x 80</t>
  </si>
  <si>
    <t xml:space="preserve">colorful cotton throw</t>
  </si>
  <si>
    <t xml:space="preserve">bo ho throws</t>
  </si>
  <si>
    <t xml:space="preserve">folk throw blanket</t>
  </si>
  <si>
    <t xml:space="preserve">boho cotton blankets</t>
  </si>
  <si>
    <t xml:space="preserve">100% cotton comforter</t>
  </si>
  <si>
    <t xml:space="preserve">boho muslin blanket</t>
  </si>
  <si>
    <t xml:space="preserve">casa and beyond reversible boho blanket</t>
  </si>
  <si>
    <t xml:space="preserve">boho reversible blanket</t>
  </si>
  <si>
    <t xml:space="preserve">cotton kantha quilt</t>
  </si>
  <si>
    <t xml:space="preserve">printed fleece blankets</t>
  </si>
  <si>
    <t xml:space="preserve">twin quilts for bed</t>
  </si>
  <si>
    <t xml:space="preserve">casa and beyond blanket</t>
  </si>
  <si>
    <t xml:space="preserve">Wasted spend at search-term level</t>
  </si>
  <si>
    <t xml:space="preserve">Spend on terms that never produced an order</t>
  </si>
  <si>
    <t xml:space="preserve">Terms with spend and 0 orders</t>
  </si>
  <si>
    <t xml:space="preserve">Of which 20+ clicks and 0 orders (spend)</t>
  </si>
  <si>
    <t xml:space="preserve">Spend on terms marked 'Negative in the rebuild'</t>
  </si>
  <si>
    <t xml:space="preserve">Rebuild the campaign structure from scratch, only after the listing and other fixes are verified</t>
  </si>
  <si>
    <t xml:space="preserve">Until every gate below passes, the account stays in maintenance mode (Live Set tab, hard cap). Yellow cells are for status and dates.</t>
  </si>
  <si>
    <t xml:space="preserve">A. Gates: all must pass before any new campaign is built</t>
  </si>
  <si>
    <t xml:space="preserve">#</t>
  </si>
  <si>
    <t xml:space="preserve">Gate</t>
  </si>
  <si>
    <t xml:space="preserve">Pass mark</t>
  </si>
  <si>
    <t xml:space="preserve">Owner</t>
  </si>
  <si>
    <t xml:space="preserve">Source</t>
  </si>
  <si>
    <t xml:space="preserve">Date verified</t>
  </si>
  <si>
    <t xml:space="preserve">Listing rebuild live</t>
  </si>
  <si>
    <t xml:space="preserve">Title leads with 'boho throw blanket' (first 80 characters); 'Uzbek' moved to bullet 2; main image test B; scale, texture, reversible and lifestyle images; 5-module A+; 20-second video; descriptive variation names</t>
  </si>
  <si>
    <t xml:space="preserve">Joseph, Nat, AB</t>
  </si>
  <si>
    <t xml:space="preserve">Pack D5, file 10; target 6 Nov</t>
  </si>
  <si>
    <t xml:space="preserve">Image errors fixed</t>
  </si>
  <si>
    <t xml:space="preserve">No wrong size anywhere (box art shows 50" x 40"); misspelt 'Elcephoria' removed from box art; size truth on every child</t>
  </si>
  <si>
    <t xml:space="preserve">AB, Nat</t>
  </si>
  <si>
    <t xml:space="preserve">Slack 20 Oct (AB screenshot)</t>
  </si>
  <si>
    <t xml:space="preserve">Conversion verified on the new page</t>
  </si>
  <si>
    <t xml:space="preserve">Unit session % of at least the Rules-tab gate (4%) on 300+ sessions over 14 days; cart-add rate on 'boho throw blanket' at or above the market's (13%) in SQP</t>
  </si>
  <si>
    <t xml:space="preserve">Joseph</t>
  </si>
  <si>
    <t xml:space="preserve">Pack files 09, 10, 14; Core Term Test tab</t>
  </si>
  <si>
    <t xml:space="preserve">Catalogue hygiene</t>
  </si>
  <si>
    <t xml:space="preserve">Unmerged test children Inactive; variation family correct; review count stable for 14 days</t>
  </si>
  <si>
    <t xml:space="preserve">AB</t>
  </si>
  <si>
    <t xml:space="preserve">Pack P1-6</t>
  </si>
  <si>
    <t xml:space="preserve">Quality and negative feedback</t>
  </si>
  <si>
    <t xml:space="preserve">Moosa's Decision Cards closed for colour accuracy, shrinkage guidance and loose threads; return reasons per child pulled</t>
  </si>
  <si>
    <t xml:space="preserve">Moosa</t>
  </si>
  <si>
    <t xml:space="preserve">Pack P2-1</t>
  </si>
  <si>
    <t xml:space="preserve">Unit economics</t>
  </si>
  <si>
    <t xml:space="preserve">Landed cost reconciled (D8); FBA fee and cube per child confirmed; break-even ACoS per SKU loaded in SellerBoard and the Command Center</t>
  </si>
  <si>
    <t xml:space="preserve">Joseph, Zarlish</t>
  </si>
  <si>
    <t xml:space="preserve">Pack D8, T2</t>
  </si>
  <si>
    <t xml:space="preserve">Price set after BFCM</t>
  </si>
  <si>
    <t xml:space="preserve">D1 and D2 closed; post-BFCM price per size decided (50x60 test at $29.99 per pack rule 3)</t>
  </si>
  <si>
    <t xml:space="preserve">Erik, Joseph</t>
  </si>
  <si>
    <t xml:space="preserve">Pack file 08</t>
  </si>
  <si>
    <t xml:space="preserve">Inventory and exit plan</t>
  </si>
  <si>
    <t xml:space="preserve">D6 decided: units to sell through by 14 Mar 2027 and units kept; the ad envelope sized to that plan</t>
  </si>
  <si>
    <t xml:space="preserve">Joseph, Haroon, Zarlish</t>
  </si>
  <si>
    <t xml:space="preserve">Pack file 09, D6</t>
  </si>
  <si>
    <t xml:space="preserve">Keyword data refreshed</t>
  </si>
  <si>
    <t xml:space="preserve">October Cerebro and SQP pulled (T3); syntax library built for this product in the Command Center (today it has none); size terms 60x80 / 50x60 moved off the exclude list</t>
  </si>
  <si>
    <t xml:space="preserve">Pack T3; Command Center</t>
  </si>
  <si>
    <t xml:space="preserve">Tracking and ownership</t>
  </si>
  <si>
    <t xml:space="preserve">Rank tracking on core and lane terms (DataDive or DataRova); Off-Amazon question answered; day-to-day owner named (D9); weekly Friday report agreed</t>
  </si>
  <si>
    <t xml:space="preserve">Pack D9, file 12</t>
  </si>
  <si>
    <t xml:space="preserve">Gates passed</t>
  </si>
  <si>
    <t xml:space="preserve">Type 'Pass' in the Status column when a gate is verified.</t>
  </si>
  <si>
    <t xml:space="preserve">B. Target structure (built new, not edited from the old campaigns)</t>
  </si>
  <si>
    <t xml:space="preserve">Campaign group</t>
  </si>
  <si>
    <t xml:space="preserve">Objective</t>
  </si>
  <si>
    <t xml:space="preserve">Ad type and match</t>
  </si>
  <si>
    <t xml:space="preserve">Start set of targets</t>
  </si>
  <si>
    <t xml:space="preserve">SKU routing</t>
  </si>
  <si>
    <t xml:space="preserve">Start bid</t>
  </si>
  <si>
    <t xml:space="preserve">Budget share</t>
  </si>
  <si>
    <t xml:space="preserve">Pass mark (after 100 clicks)</t>
  </si>
  <si>
    <t xml:space="preserve">Stop rule</t>
  </si>
  <si>
    <t xml:space="preserve">Brand defence</t>
  </si>
  <si>
    <t xml:space="preserve">Defensive</t>
  </si>
  <si>
    <t xml:space="preserve">SP Exact; Sponsored Brands headline once brand assets exist</t>
  </si>
  <si>
    <t xml:space="preserve">sleephoria, sleephoria blanket, sleephoria boho throw blanket</t>
  </si>
  <si>
    <t xml:space="preserve">All children</t>
  </si>
  <si>
    <t xml:space="preserve">Low; keep top of search</t>
  </si>
  <si>
    <t xml:space="preserve">5%</t>
  </si>
  <si>
    <t xml:space="preserve">Impression share on brand terms 80%+</t>
  </si>
  <si>
    <t xml:space="preserve">None (always on, capped)</t>
  </si>
  <si>
    <t xml:space="preserve">Core exact: proven</t>
  </si>
  <si>
    <t xml:space="preserve">Profitable conversion</t>
  </si>
  <si>
    <t xml:space="preserve">SP Exact, one keyword per campaign</t>
  </si>
  <si>
    <t xml:space="preserve">bohemian throw blanket, bohemian blanket, boho throws, boho throw</t>
  </si>
  <si>
    <t xml:space="preserve">Butterfly 50x60 primary; 60x80 for bed terms</t>
  </si>
  <si>
    <t xml:space="preserve">Worth-based: target ACoS x AOV x CVR (Live Set method)</t>
  </si>
  <si>
    <t xml:space="preserve">30%</t>
  </si>
  <si>
    <t xml:space="preserve">CVR 4%+; ACoS at or under break-even after the rebuild</t>
  </si>
  <si>
    <t xml:space="preserve">CVR under 2% after 100 clicks: pause</t>
  </si>
  <si>
    <t xml:space="preserve">Core exact: retest</t>
  </si>
  <si>
    <t xml:space="preserve">Ranking (capped loss)</t>
  </si>
  <si>
    <t xml:space="preserve">boho throw blanket, boho blanket, boho throw blankets for couch</t>
  </si>
  <si>
    <t xml:space="preserve">Butterfly 50x60</t>
  </si>
  <si>
    <t xml:space="preserve">Worth-based; TOS modifier from placement CVRs, max +300%</t>
  </si>
  <si>
    <t xml:space="preserve">25%</t>
  </si>
  <si>
    <t xml:space="preserve">2+ cart adds per 20 clicks; 1+ order per 50 clicks; organic rank moving toward top 20</t>
  </si>
  <si>
    <t xml:space="preserve">No order in 50 clicks: pause</t>
  </si>
  <si>
    <t xml:space="preserve">Design lane</t>
  </si>
  <si>
    <t xml:space="preserve">Discovery to conversion</t>
  </si>
  <si>
    <t xml:space="preserve">SP Phrase; exacts of other lanes negated</t>
  </si>
  <si>
    <t xml:space="preserve">vintage floral throw blanket, floral throw blanket, woven throw blanket, throw blanket with tassels, reversible throw blanket</t>
  </si>
  <si>
    <t xml:space="preserve">Bloom / Bouquet for floral; Butterfly for woven and tassel</t>
  </si>
  <si>
    <t xml:space="preserve">60% of core bid</t>
  </si>
  <si>
    <t xml:space="preserve">10%</t>
  </si>
  <si>
    <t xml:space="preserve">CVR 3%+</t>
  </si>
  <si>
    <t xml:space="preserve">Butterfly lane</t>
  </si>
  <si>
    <t xml:space="preserve">SP Exact</t>
  </si>
  <si>
    <t xml:space="preserve">butterfly throw blanket, butterfly blanket, butterfly throw</t>
  </si>
  <si>
    <t xml:space="preserve">Butterfly only</t>
  </si>
  <si>
    <t xml:space="preserve">Worth-based</t>
  </si>
  <si>
    <t xml:space="preserve">CVR under 2%: pause</t>
  </si>
  <si>
    <t xml:space="preserve">Material lane</t>
  </si>
  <si>
    <t xml:space="preserve">Discovery</t>
  </si>
  <si>
    <t xml:space="preserve">SP Phrase</t>
  </si>
  <si>
    <t xml:space="preserve">cotton throw blanket, 100% cotton throw blanket, boho cotton blanket, cotton throw blanket for couch</t>
  </si>
  <si>
    <t xml:space="preserve">Butterfly</t>
  </si>
  <si>
    <t xml:space="preserve">Size lane</t>
  </si>
  <si>
    <t xml:space="preserve">throw blanket 60x80, 60x80 throw blankets, 50x60 throw blanket, boho blanket 60x80</t>
  </si>
  <si>
    <t xml:space="preserve">Matching size child only</t>
  </si>
  <si>
    <t xml:space="preserve">Fall hybrid (seasonal, only if timing allows)</t>
  </si>
  <si>
    <t xml:space="preserve">Seasonal test</t>
  </si>
  <si>
    <t xml:space="preserve">SP Exact and phrase</t>
  </si>
  <si>
    <t xml:space="preserve">fall boho throw blanket, autumn boho blanket, fall floral throw blanket</t>
  </si>
  <si>
    <t xml:space="preserve">Butterfly / Bloom</t>
  </si>
  <si>
    <t xml:space="preserve">5% for 14 days</t>
  </si>
  <si>
    <t xml:space="preserve">CVR at least the core CVR and 3%+</t>
  </si>
  <si>
    <t xml:space="preserve">Under 2%: pause; ends after Thanksgiving</t>
  </si>
  <si>
    <t xml:space="preserve">Auto discovery</t>
  </si>
  <si>
    <t xml:space="preserve">Harvest</t>
  </si>
  <si>
    <t xml:space="preserve">SP Auto, close match only</t>
  </si>
  <si>
    <t xml:space="preserve">Auto</t>
  </si>
  <si>
    <t xml:space="preserve">$0.20 to $0.30</t>
  </si>
  <si>
    <t xml:space="preserve">Terms with 2+ orders harvested to exact</t>
  </si>
  <si>
    <t xml:space="preserve">Negate terms with 15+ clicks and 0 orders</t>
  </si>
  <si>
    <t xml:space="preserve">Competitor product targeting</t>
  </si>
  <si>
    <t xml:space="preserve">Conquest (after core passes)</t>
  </si>
  <si>
    <t xml:space="preserve">SP Product targeting</t>
  </si>
  <si>
    <t xml:space="preserve">Bailix B0DHKTZTMN, MSGKV B0BLRBXBX5, LUTBM B0BN9XZJY4, VANJOROY B0DYTLQC93 (size and price matched)</t>
  </si>
  <si>
    <t xml:space="preserve">Same size as the competitor page; Butterfly first</t>
  </si>
  <si>
    <t xml:space="preserve">Keyword-parity</t>
  </si>
  <si>
    <t xml:space="preserve">0% until core passes, then up to 10%</t>
  </si>
  <si>
    <t xml:space="preserve">CVR 2%+</t>
  </si>
  <si>
    <t xml:space="preserve">0 orders in 30 clicks: pause</t>
  </si>
  <si>
    <t xml:space="preserve">Consideration</t>
  </si>
  <si>
    <t xml:space="preserve">SBV on core and design terms</t>
  </si>
  <si>
    <t xml:space="preserve">Core and design keywords</t>
  </si>
  <si>
    <t xml:space="preserve">Butterfly hero</t>
  </si>
  <si>
    <t xml:space="preserve">Category-typical</t>
  </si>
  <si>
    <t xml:space="preserve">0% until the video is live</t>
  </si>
  <si>
    <t xml:space="preserve">CTR above SP; CVR 2%+</t>
  </si>
  <si>
    <t xml:space="preserve">ACoS above 3x break-even after 100 clicks</t>
  </si>
  <si>
    <t xml:space="preserve">Retargeting</t>
  </si>
  <si>
    <t xml:space="preserve">SD views remarketing</t>
  </si>
  <si>
    <t xml:space="preserve">Viewed our listing, 30 days</t>
  </si>
  <si>
    <t xml:space="preserve">All</t>
  </si>
  <si>
    <t xml:space="preserve">Low</t>
  </si>
  <si>
    <t xml:space="preserve">0% until CVR passes</t>
  </si>
  <si>
    <t xml:space="preserve">ROAS above 1</t>
  </si>
  <si>
    <t xml:space="preserve">No order in 30 days</t>
  </si>
  <si>
    <t xml:space="preserve">C. Rules the new structure is built on</t>
  </si>
  <si>
    <t xml:space="preserve">1.</t>
  </si>
  <si>
    <t xml:space="preserve">Every campaign has one objective, one match type and one SKU. No campaign mixes intents (the old setup mixed king terms with 60x80 terms, and couch with bed and beach).</t>
  </si>
  <si>
    <t xml:space="preserve">2.</t>
  </si>
  <si>
    <t xml:space="preserve">Starting bids come from what a click is worth (target ACoS x order value x expected CVR), not from suggested bids. Top of Search modifier from measured placement CVRs, never above +300%.</t>
  </si>
  <si>
    <t xml:space="preserve">3.</t>
  </si>
  <si>
    <t xml:space="preserve">Break-even ACoS comes from the reconciled landed cost per SKU (gate 6), not the current estimate.</t>
  </si>
  <si>
    <t xml:space="preserve">4.</t>
  </si>
  <si>
    <t xml:space="preserve">Negatives from day one: king, queen, twin, quilt, comforter, picnic, beach, heated, fleece, muslin, no fringe, non-matching colours, competitor brand names, and every 'Negative' term on the Search Terms tab.</t>
  </si>
  <si>
    <t xml:space="preserve">5.</t>
  </si>
  <si>
    <t xml:space="preserve">Phrase campaigns carry their lane's exact terms as negative exact, so each search has one owner.</t>
  </si>
  <si>
    <t xml:space="preserve">6.</t>
  </si>
  <si>
    <t xml:space="preserve">Budget envelope sized to the inventory plan (gate 8) and released lane by lane: a lane gets more budget only after it passes its mark at 100 clicks.</t>
  </si>
  <si>
    <t xml:space="preserve">7.</t>
  </si>
  <si>
    <t xml:space="preserve">Weekly read every Friday (pack file 12 report). Change one lever per campaign per cycle, then hold 14 days (repo README principles 3 and 4).</t>
  </si>
  <si>
    <t xml:space="preserve">8.</t>
  </si>
  <si>
    <t xml:space="preserve">Naming: SL-BB-SP-[MATCH]-[keyword or ASIN]-[lane]-[SKU], so every report groups by lane and SKU.</t>
  </si>
  <si>
    <t xml:space="preserve">D. Timeline</t>
  </si>
  <si>
    <t xml:space="preserve">When</t>
  </si>
  <si>
    <t xml:space="preserve">What</t>
  </si>
  <si>
    <t xml:space="preserve">Who</t>
  </si>
  <si>
    <t xml:space="preserve">Now to 6 Nov</t>
  </si>
  <si>
    <t xml:space="preserve">Maintenance mode: only the Live Set runs, under the hard cap. Everything else paused, nothing deleted.</t>
  </si>
  <si>
    <t xml:space="preserve">6 Nov</t>
  </si>
  <si>
    <t xml:space="preserve">Rebuilt listing live (gate 1).</t>
  </si>
  <si>
    <t xml:space="preserve">6 to 20 Nov</t>
  </si>
  <si>
    <t xml:space="preserve">14 days of conversion data on the new page, with the Live Set only (gate 3). Close gates 4 to 10 in parallel.</t>
  </si>
  <si>
    <t xml:space="preserve">About 20 Nov</t>
  </si>
  <si>
    <t xml:space="preserve">Gate review. All pass: build the new structure as a bulk file and upload. Any fail: stay in maintenance and fix that gate.</t>
  </si>
  <si>
    <t xml:space="preserve">Launch + 14 days</t>
  </si>
  <si>
    <t xml:space="preserve">First read per lane against its pass mark; release or cut budget lane by lane.</t>
  </si>
  <si>
    <t xml:space="preserve">15 Jan 2027</t>
  </si>
  <si>
    <t xml:space="preserve">Sell-through review against the D6 plan.</t>
  </si>
  <si>
    <t xml:space="preserve">14 Mar 2027</t>
  </si>
  <si>
    <t xml:space="preserve">Last removal or liquidation date before the $5.45 aged-fee band (check receipt dates).</t>
  </si>
  <si>
    <t xml:space="preserve">Decisions for Joseph</t>
  </si>
  <si>
    <t xml:space="preserve">Pauses, re-enables, bid cuts above 15% and modifier changes need the manager (config/thresholds.yml authority). Record each decision in the yellow cells.</t>
  </si>
  <si>
    <t xml:space="preserve">Recommendation</t>
  </si>
  <si>
    <t xml:space="preserve">Evidence</t>
  </si>
  <si>
    <t xml:space="preserve">Date</t>
  </si>
  <si>
    <t xml:space="preserve">Spend ceiling (D4)</t>
  </si>
  <si>
    <t xml:space="preserve">Set the 'SLEEPHORIA - Boho Blanket' portfolio budget to $25 a day ($175 a week), the Phase 0 / D4 figure</t>
  </si>
  <si>
    <t xml:space="preserve">Open decision from Erik's 20 Oct post. Live budgets add up to $25; expected spend about $3 to $5 a day (Live Set tab).</t>
  </si>
  <si>
    <t xml:space="preserve">Upload the bulk file</t>
  </si>
  <si>
    <t xml:space="preserve">3 enabled, 37 paused, 2 top-of-search boost rows</t>
  </si>
  <si>
    <t xml:space="preserve">Decisions tab; the bulk file passed all upload checks</t>
  </si>
  <si>
    <t xml:space="preserve">'bohemian throw blanket'</t>
  </si>
  <si>
    <t xml:space="preserve">Keep live; bid $0.52 and TOS +280% unchanged; budget $9.41 to $10</t>
  </si>
  <si>
    <t xml:space="preserve">4 on-Amazon orders, 1 in the last 30 days</t>
  </si>
  <si>
    <t xml:space="preserve">Re-enable 'bohemian blanket'</t>
  </si>
  <si>
    <t xml:space="preserve">Bid $0.69 unchanged; TOS +450% to +300%; budget $10</t>
  </si>
  <si>
    <t xml:space="preserve">2 orders in the last 30 days; +450% allowed up to $3.80 a click</t>
  </si>
  <si>
    <t xml:space="preserve">Bid $0.68 unchanged; TOS +380% to +300%; budget $11.32 to $5</t>
  </si>
  <si>
    <t xml:space="preserve">Plan cap +300%; brand clicks cost about $0.34</t>
  </si>
  <si>
    <t xml:space="preserve">TOS steps above the 20-point rule</t>
  </si>
  <si>
    <t xml:space="preserve">Approve +450% to +300% and +380% to +300% in one step</t>
  </si>
  <si>
    <t xml:space="preserve">config/thresholds.yml W6 limits placement moves to 20 points per 14 days</t>
  </si>
  <si>
    <t xml:space="preserve">'boho throw blanket' (hero term)</t>
  </si>
  <si>
    <t xml:space="preserve">Keep paused; do not negate; first test after the rebuild</t>
  </si>
  <si>
    <t xml:space="preserve">Core Term Test tab: 0 cart adds on 38 clicks</t>
  </si>
  <si>
    <t xml:space="preserve">Off-Amazon</t>
  </si>
  <si>
    <t xml:space="preserve">Check the 11 to 12 Sep change history on 'boho king size blanket' and the Off-Amazon setting on the 3 live campaigns</t>
  </si>
  <si>
    <t xml:space="preserve">Placements tab: 2-week burst on idle budgets, stopped as campaigns were cut or paused</t>
  </si>
  <si>
    <t xml:space="preserve">Rebuild</t>
  </si>
  <si>
    <t xml:space="preserve">Approve the gates and the target structure; build only when all gates pass</t>
  </si>
  <si>
    <t xml:space="preserve">Rebuild Plan tab</t>
  </si>
  <si>
    <t xml:space="preserve">All 40 boho campaigns: settings, metrics, checks and decision</t>
  </si>
  <si>
    <t xml:space="preserve">Sorted by spend since launch. Metrics: Ecotero Command Center (Sponsored Products, US). State, budget, TOS modifier: DataDive, 22 Oct 2026. Sales take up to 7 days to be credited, so recent windows read slightly low.</t>
  </si>
  <si>
    <t xml:space="preserve">Settings, 22 Oct</t>
  </si>
  <si>
    <t xml:space="preserve">Since launch: 24 Aug to 22 Oct</t>
  </si>
  <si>
    <t xml:space="preserve">Last 30 days: 23 Sep to 22 Oct</t>
  </si>
  <si>
    <t xml:space="preserve">Last 15 days: 8 to 22 Oct</t>
  </si>
  <si>
    <t xml:space="preserve">Placement since launch (spend split from Amazon's placement share)</t>
  </si>
  <si>
    <t xml:space="preserve">Checks (formulas)</t>
  </si>
  <si>
    <t xml:space="preserve">Campaign name</t>
  </si>
  <si>
    <t xml:space="preserve">Target(s)</t>
  </si>
  <si>
    <t xml:space="preserve">Type</t>
  </si>
  <si>
    <t xml:space="preserve">Keyword family</t>
  </si>
  <si>
    <t xml:space="preserve">Advertised SKU</t>
  </si>
  <si>
    <t xml:space="preserve">Plan status (Phase 0)</t>
  </si>
  <si>
    <t xml:space="preserve">State</t>
  </si>
  <si>
    <t xml:space="preserve">Daily budget</t>
  </si>
  <si>
    <t xml:space="preserve">Base bid (known)</t>
  </si>
  <si>
    <t xml:space="preserve">Max TOS bid</t>
  </si>
  <si>
    <t xml:space="preserve">CTR</t>
  </si>
  <si>
    <t xml:space="preserve">ROAS</t>
  </si>
  <si>
    <t xml:space="preserve">TOS clicks</t>
  </si>
  <si>
    <t xml:space="preserve">TOS spend</t>
  </si>
  <si>
    <t xml:space="preserve">Product page clicks</t>
  </si>
  <si>
    <t xml:space="preserve">Product page spend</t>
  </si>
  <si>
    <t xml:space="preserve">Rest of search clicks</t>
  </si>
  <si>
    <t xml:space="preserve">Rest of search spend</t>
  </si>
  <si>
    <t xml:space="preserve">Off-Amazon clicks</t>
  </si>
  <si>
    <t xml:space="preserve">Off-Amazon spend</t>
  </si>
  <si>
    <t xml:space="preserve">Off-Amazon share of spend</t>
  </si>
  <si>
    <t xml:space="preserve">CVR rule (since launch)</t>
  </si>
  <si>
    <t xml:space="preserve">ACoS check</t>
  </si>
  <si>
    <t xml:space="preserve">TOS modifier check</t>
  </si>
  <si>
    <t xml:space="preserve">Why</t>
  </si>
  <si>
    <t xml:space="preserve">SL-BB-SP-boho king size blanket-Boho|Blanket|Size-VLSV-Exact-Rank-Fixed-SL-BOHO-BLANKET-BUTTERFLY-60x80-1-PC</t>
  </si>
  <si>
    <t xml:space="preserve">big boho blanket · boho blanket 60x 80 · boho king size blanket +1 more keywords</t>
  </si>
  <si>
    <t xml:space="preserve">SP Exact keyword</t>
  </si>
  <si>
    <t xml:space="preserve">Boho size (king / queen / 60x80)</t>
  </si>
  <si>
    <t xml:space="preserve">SL-BOHO-BLANKET-BUTTERFLY-60x80-1-PC</t>
  </si>
  <si>
    <t xml:space="preserve">Phase 0: run (as 'converting long tail')</t>
  </si>
  <si>
    <t xml:space="preserve">ENABLED</t>
  </si>
  <si>
    <t xml:space="preserve">PAUSED</t>
  </si>
  <si>
    <t xml:space="preserve">SL-BB-SP-boho throw blankets for couch-Boho|Blanket|Core-VLSV-Exact-Rank-Fixed-SL-BOHO-BLANKET-BUTTERFLY-50x60-1-PC</t>
  </si>
  <si>
    <t xml:space="preserve">Boho couch / bed</t>
  </si>
  <si>
    <t xml:space="preserve">SL-BOHO-BLANKET-BUTTERFLY-50x60-1-PC</t>
  </si>
  <si>
    <t xml:space="preserve">Not in Phase 0</t>
  </si>
  <si>
    <t xml:space="preserve">SL-BB-SP-boho blanket-Boho|Blanket|Core-MSV-Exact-Rank-Fixed-SL-BOHO-BLANKET-BUTTERFLY-50x60-1-PC</t>
  </si>
  <si>
    <t xml:space="preserve">Boho core</t>
  </si>
  <si>
    <t xml:space="preserve">Phase 0: run</t>
  </si>
  <si>
    <t xml:space="preserve">SL-BB-SP-bohemian throw blanket-Boho|Blanket|Core-LSV-Exact-Rank-Fixed-SL-BOHO-BLANKET-BUTTERFLY-50x60-1-PC</t>
  </si>
  <si>
    <t xml:space="preserve">SL-BB-SP-B0BLRBXBX5-Exact-Conq-Fixed-SL-BOHO-BLANKET-BOUQUET-60x80-1-PC</t>
  </si>
  <si>
    <t xml:space="preserve">Competitor PAT</t>
  </si>
  <si>
    <t xml:space="preserve">SL-BOHO-BLANKET-BOUQUET-60x80-1-PC</t>
  </si>
  <si>
    <t xml:space="preserve">Not in Phase 0 (Phase 1 lane L9)</t>
  </si>
  <si>
    <t xml:space="preserve">SL-BB-SP-boho throw-Boho|Blanket|Core-MSV-Exact-Rank-Fixed-SL-BOHO-BLANKET-BUTTERFLY-50x60-1-PC</t>
  </si>
  <si>
    <t xml:space="preserve">SL-BB-SP-throw blanket boho-Boho|Blanket|Core-MSV-Exact-Rank-Fixed-SL-BOHO-BLANKET-BUTTERFLY-50x60-1-PC</t>
  </si>
  <si>
    <t xml:space="preserve">Phase 0: run AND stop list</t>
  </si>
  <si>
    <t xml:space="preserve">SL-BB-SP-boho scandinavian cotton blanket-Boho|Blanket|Material-VLSV-Exact-Rank-Fixed-SL-BOHO-BLANKET-BUTTERFLY-50x60-1-PC</t>
  </si>
  <si>
    <t xml:space="preserve">boho blanket throw cotton · boho cotton throw blanket · boho scandinavian cotton blanket +2 more keywords</t>
  </si>
  <si>
    <t xml:space="preserve">Boho material (cotton)</t>
  </si>
  <si>
    <t xml:space="preserve">SL-BB-SP-boho blankets and throws-Boho|Blanket|Core-VLSV-Exact-Rank-Fixed-SL-BOHO-BLANKET-BUTTERFLY-50x60-1-PC</t>
  </si>
  <si>
    <t xml:space="preserve">Phase 0: stop list</t>
  </si>
  <si>
    <t xml:space="preserve">SL-BB-SP-boho blanket king-Boho|Blanket|Size-VLSV-Exact-Rank-Fixed-SL-BOHO-BLANKET-BUTTERFLY-60x80-1-PC</t>
  </si>
  <si>
    <t xml:space="preserve">Exclude list (king / queen)</t>
  </si>
  <si>
    <t xml:space="preserve">SL-BB-SP-bohemian blanket-Boho|Blanket|Core-LSV-Exact-Rank-Fixed-SL-BOHO-BLANKET-BUTTERFLY-50x60-1-PC</t>
  </si>
  <si>
    <t xml:space="preserve">SL-BB-SP-boho throw blanket-Boho|Blanket|Core-MSV-Exact-Rank-Fixed-SL-BOHO-BLANKET-BUTTERFLY-50x60-1-PC</t>
  </si>
  <si>
    <t xml:space="preserve">SL-BB-SP-boho cotton blanket-Boho|Blanket|Material-VLSV-Exact-Rank-Fixed-SL-BOHO-BLANKET-BUTTERFLY-50x60-1-PC</t>
  </si>
  <si>
    <t xml:space="preserve">SL-BB-SP-throw blanket for couch boho-Boho|Blanket|Core-VLSV-Exact-Rank-Fixed-SL-BOHO-BLANKET-BUTTERFLY-50x60-1-PC</t>
  </si>
  <si>
    <t xml:space="preserve">blanket boho · boho bed throw · boho blankets for bed +2 more keywords</t>
  </si>
  <si>
    <t xml:space="preserve">SL-BB-SP-king size boho blanket-Boho|Blanket|Size-VLSV-Exact-Rank-Fixed-SL-BOHO-BLANKET-BUTTERFLY-60x80-1-PC</t>
  </si>
  <si>
    <t xml:space="preserve">SL-BB-SP-boho picnic blanket-Boho|Blanket|Core-MSV-Exact-Rank-Fixed-SL-BOHO-BLANKET-BUTTERFLY-50x60-1-PC</t>
  </si>
  <si>
    <t xml:space="preserve">Boho off-intent (picnic / beach / heated)</t>
  </si>
  <si>
    <t xml:space="preserve">SL-BB-SP-boho blanket king size-Boho|Blanket|Size-VLSV-Exact-Rank-Fixed-SL-BOHO-BLANKET-BUTTERFLY-60x80-1-PC</t>
  </si>
  <si>
    <t xml:space="preserve">SL-BB-SP-boho blanket throw-Boho|Blanket|Core-LSV-Exact-Rank-Fixed-SL-BOHO-BLANKET-BUTTERFLY-50x60-1-PC</t>
  </si>
  <si>
    <t xml:space="preserve">SL-BB-SP-boho throw blanket for bed-Boho|Blanket|Core-LSV-Exact-Rank-Fixed-SL-BOHO-BLANKET-BUTTERFLY-50x60-1-PC</t>
  </si>
  <si>
    <t xml:space="preserve">SL-BB-SP-B0FRF3JGK9-Exact-Conq-Fixed-SL-BOHO-BLANKET-BOUQUET-60x80-1-PC</t>
  </si>
  <si>
    <t xml:space="preserve">SL-BB-SP-boho blanket throw colorful-Boho|Blanket|Color-VLSV-Exact-Rank-Fixed-SL-BOHO-BLANKET-BUTTERFLY-50x60-1-PC</t>
  </si>
  <si>
    <t xml:space="preserve">beige boho throw blanket · blue boho blanket · blue boho throw blanket +1 more keywords</t>
  </si>
  <si>
    <t xml:space="preserve">Boho pattern / colour</t>
  </si>
  <si>
    <t xml:space="preserve">SL-BB-SP-boho blanket queen-Boho|Blanket|Size-LSV-Exact-Rank-Fixed-SL-BOHO-BLANKET-BUTTERFLY-50x60-1-PC</t>
  </si>
  <si>
    <t xml:space="preserve">SL-BB-SP-boho couch blanket-Boho|Blanket|Core-VLSV-Exact-Rank-Fixed-SL-BOHO-BLANKET-BUTTERFLY-50x60-1-PC</t>
  </si>
  <si>
    <t xml:space="preserve">beach blanket boho · boho couch blanket</t>
  </si>
  <si>
    <t xml:space="preserve">Not in Phase 0 (holds stop-list term)</t>
  </si>
  <si>
    <t xml:space="preserve">SL-BB-SP-boho heated blanket-Boho|Blanket|Core-VLSV-Exact-Rank-Fixed-SL-BOHO-BLANKET-BUTTERFLY-50x60-1-PC</t>
  </si>
  <si>
    <t xml:space="preserve">SL-BB-SP-B0F542WLD5-Exact-Conq-Fixed-SL-BOHO-BLANKET-BOUQUET-60x80-1-PC</t>
  </si>
  <si>
    <t xml:space="preserve">SL-BB-SP-B0F9WSBG6B-Exact-Conq-Fixed-SL-BOHO-BLANKET-BOUQUET-60x80-1-PC</t>
  </si>
  <si>
    <t xml:space="preserve">SL-BB-SP-B0DHKTZTMN-Exact-Conq-Fixed-SL-BOHO-BLANKET-BOUQUET-60x80-1-PC</t>
  </si>
  <si>
    <t xml:space="preserve">SL-BB-SP-boho cotton blankets queen size-Boho|Blanket|Size-VLSV-Exact-Rank-Fixed-SL-BOHO-BLANKET-BUTTERFLY-50x60-1-PC</t>
  </si>
  <si>
    <t xml:space="preserve">SL-BB-SP-boho king blanket-Boho|Blanket|Size-VLSV-Exact-Rank-Fixed-SL-BOHO-BLANKET-BUTTERFLY-60x80-1-PC</t>
  </si>
  <si>
    <t xml:space="preserve">SL-BB-SP-rustic floral boho blanket-Boho|Blanket|Pattern-VLSV-Exact-Rank-Fixed-SL-BOHO-BLANKET-BOUQUET-50x60-1-PC</t>
  </si>
  <si>
    <t xml:space="preserve">boho floral cotton blankets · rustic floral boho blanket</t>
  </si>
  <si>
    <t xml:space="preserve">SL-BOHO-BLANKET-BOUQUET-50x60-1-PC</t>
  </si>
  <si>
    <t xml:space="preserve">SL-BB-SP-B0D4HQ4B6Y-Exact-Conq-Fixed-SL-BOHO-BLANKET-BOUQUET-60x80-1-PC</t>
  </si>
  <si>
    <t xml:space="preserve">SL-BB-SP-B0DRFZ787F-Exact-Conq-Fixed-SL-BOHO-BLANKET-BOUQUET-60x80-1-PC</t>
  </si>
  <si>
    <t xml:space="preserve">SL-BB-SP-throw blankets for bed boho-Boho|Blanket|Core-VLSV-Exact-Rank-Fixed-SL-BOHO-BLANKET-BUTTERFLY-50x60-1-PC</t>
  </si>
  <si>
    <t xml:space="preserve">SL-BB-SP-B0DS28Q1LT-Exact-Conq-Fixed-SL-BOHO-BLANKET-BOUQUET-60x80-1-PC</t>
  </si>
  <si>
    <t xml:space="preserve">SL-BB-SP-boho beach blanket-Boho|Blanket|Core-LSV-Exact-Rank-Fixed-SL-BOHO-BLANKET-BUTTERFLY-50x60-1-PC</t>
  </si>
  <si>
    <t xml:space="preserve">SL-BB-SP-B0B5XX22J6-Exact-Conq-Fixed-SL-BOHO-BLANKET-BOUQUET-60x80-1-PC</t>
  </si>
  <si>
    <t xml:space="preserve">SL-BB-SP-boho blanket throw patterned-Boho|Blanket|Pattern-VLSV-Exact-Rank-Fixed-SL-BOHO-BLANKET-BUTTERFLY-50x60-1-PC</t>
  </si>
  <si>
    <t xml:space="preserve">boho blanket throw patterned · boho reversible throw blanket · reversible boho blanket with patterns</t>
  </si>
  <si>
    <t xml:space="preserve">SL-BB-SP-sleephoria boho throw blanket-Branded Keyword-VLSV-Exact-Branded-Fixed-SL-BOHO-BLANKET-BUTTERFLY-50x60-1-PC</t>
  </si>
  <si>
    <t xml:space="preserve">boho throw blanket sleephoria · sleephoria boho throw blanket</t>
  </si>
  <si>
    <t xml:space="preserve">SL-BB-SP-B0G2RBNQ2X-Exact-Conq-Fixed-SL-BOHO-BLANKET-BOUQUET-60x80-1-PC</t>
  </si>
  <si>
    <t xml:space="preserve">SL-BB-SP-boho cotton throw blanket no fringe-Boho|Blanket|Material-VLSV-Exact-Rank-Fixed-SL-BOHO-BLANKET-BUTTERFLY-50x60-1-PC</t>
  </si>
  <si>
    <t xml:space="preserve">TOTAL (all 40 campaigns)</t>
  </si>
  <si>
    <t xml:space="preserve">Where the money went: by keyword family and by decision</t>
  </si>
  <si>
    <t xml:space="preserve">SUMIFS over the Campaigns tab.</t>
  </si>
  <si>
    <t xml:space="preserve">CVR since launch</t>
  </si>
  <si>
    <t xml:space="preserve">Share of last 30 days spend</t>
  </si>
  <si>
    <t xml:space="preserve">Placement split: where clicks, spend and orders came from</t>
  </si>
  <si>
    <t xml:space="preserve">Clicks and spend: SUMs over the Campaigns tab. On-Amazon orders: Amazon's placement report at campaign grain. Off-Amazon orders are not reported, so they are total orders minus on-Amazon orders (implied).</t>
  </si>
  <si>
    <t xml:space="preserve">Placement (since launch)</t>
  </si>
  <si>
    <t xml:space="preserve">Share of spend</t>
  </si>
  <si>
    <t xml:space="preserve">Top of Search</t>
  </si>
  <si>
    <t xml:space="preserve">Best CVR on Amazon. TOS clicks are worth about 2x an average click.</t>
  </si>
  <si>
    <t xml:space="preserve">Product pages</t>
  </si>
  <si>
    <t xml:space="preserve">Most on-Amazon clicks, lowest CVR. Base bids set low.</t>
  </si>
  <si>
    <t xml:space="preserve">Rest of Search</t>
  </si>
  <si>
    <t xml:space="preserve">Small.</t>
  </si>
  <si>
    <t xml:space="preserve">About half of all orders at about $0.20 a click. 0 clicks in the last 30 days.</t>
  </si>
  <si>
    <t xml:space="preserve">Off-Amazon investigation: why it stopped</t>
  </si>
  <si>
    <t xml:space="preserve">Finding: it was not switched off. It was a burst of about 2 weeks (about 6 to 18 Sep, about 1,690 clicks at $0.20) that spent idle budget on a few boho campaigns, then stopped campaign by campaign as those campaigns were cut back or paused.</t>
  </si>
  <si>
    <t xml:space="preserve">Why those campaigns: Ali's Day 10 read (about 4 Sep) flagged four campaigns holding $30 to $50 a day at under 3% budget use. Three of them took Off-Amazon traffic days later. Off-Amazon ads use the campaign's own budget and max bid and are on by default ('Increase reach'); creator placements were added from 10 Aug 2026 (trade press).</t>
  </si>
  <si>
    <t xml:space="preserve">Not account-wide: other products kept getting Off-Amazon clicks after 19 Sep (table below), so nothing was switched off at account level.</t>
  </si>
  <si>
    <t xml:space="preserve">Not confirmed: who changed what on 11 and 12 Sep (Campaign Manager history on 'boho king size blanket'), and whether 'Limit off-Amazon spend' is set (visible in a fresh bulk export, 'Off-Amazon ad serving' column).</t>
  </si>
  <si>
    <t xml:space="preserve">Campaign that took Off-Amazon traffic</t>
  </si>
  <si>
    <t xml:space="preserve">Off-Amazon days</t>
  </si>
  <si>
    <t xml:space="preserve">Peak clicks a day</t>
  </si>
  <si>
    <t xml:space="preserve">What happened</t>
  </si>
  <si>
    <t xml:space="preserve">7 to 11 Sep</t>
  </si>
  <si>
    <t xml:space="preserve">$0.19</t>
  </si>
  <si>
    <t xml:space="preserve">317 clicks and $60.23 on each of 9, 10 and 11 Sep (budget-limited); 0 impressions on 12 Sep; Amazon-only afterwards (now $0.97 bid, +413%)</t>
  </si>
  <si>
    <t xml:space="preserve">10 to 15 Sep</t>
  </si>
  <si>
    <t xml:space="preserve">$0.15 to $0.22</t>
  </si>
  <si>
    <t xml:space="preserve">Stopped after 15 Sep; still enabled, Amazon-only</t>
  </si>
  <si>
    <t xml:space="preserve">13 Sep</t>
  </si>
  <si>
    <t xml:space="preserve">$0.23</t>
  </si>
  <si>
    <t xml:space="preserve">One day only; campaign now paused</t>
  </si>
  <si>
    <t xml:space="preserve">16 to 18 Sep</t>
  </si>
  <si>
    <t xml:space="preserve">$0.26 to $0.54</t>
  </si>
  <si>
    <t xml:space="preserve">Stopped after 18 Sep; Amazon-only afterwards</t>
  </si>
  <si>
    <t xml:space="preserve">boho heated, scandinavian, throw blanket for couch boho</t>
  </si>
  <si>
    <t xml:space="preserve">Sep</t>
  </si>
  <si>
    <t xml:space="preserve">about $0.20</t>
  </si>
  <si>
    <t xml:space="preserve">Small amounts; all now paused</t>
  </si>
  <si>
    <t xml:space="preserve">Boho: Off-Amazon clicks</t>
  </si>
  <si>
    <t xml:space="preserve">Boho: all clicks</t>
  </si>
  <si>
    <t xml:space="preserve">Bamboo 4-PC: Off-Amazon</t>
  </si>
  <si>
    <t xml:space="preserve">Quilt Set: Off-Amazon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</si>
  <si>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</si>
  <si>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</si>
  <si>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</si>
  <si>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</si>
  <si>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</si>
  <si>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</si>
  <si>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</si>
  <si>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</si>
  <si>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</si>
  <si>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</si>
  <si>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</si>
  <si>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</si>
  <si>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</si>
  <si>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</si>
  <si>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</si>
  <si>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</si>
  <si>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</si>
  <si>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</si>
  <si>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</si>
  <si>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</si>
  <si>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</si>
  <si>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</si>
  <si>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</si>
  <si>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</si>
  <si>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</si>
  <si>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</si>
  <si>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</si>
  <si>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</si>
  <si>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</si>
  <si>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</si>
  <si>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</si>
  <si>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</si>
  <si>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</si>
  <si>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</si>
  <si>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</si>
  <si>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</si>
  <si>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</si>
  <si>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</si>
  <si>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</si>
  <si>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</si>
  <si>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</si>
  <si>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</si>
  <si>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</si>
  <si>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</si>
  <si>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</si>
  <si>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</si>
  <si>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</si>
  <si>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</si>
  <si>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</si>
  <si>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</si>
  <si>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</si>
  <si>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Stop list check: the 9 terms in the pack, status on 22 Oct</t>
  </si>
  <si>
    <t xml:space="preserve">Looked up from the Campaigns tab by campaign ID.</t>
  </si>
  <si>
    <t xml:space="preserve">Stop-list term</t>
  </si>
  <si>
    <t xml:space="preserve">Pack evidence (to 9 Sep)</t>
  </si>
  <si>
    <t xml:space="preserve">Decision now</t>
  </si>
  <si>
    <t xml:space="preserve">$41.63, 0 orders</t>
  </si>
  <si>
    <t xml:space="preserve">$20.83, 0 orders</t>
  </si>
  <si>
    <t xml:space="preserve">$14.47, 0 orders</t>
  </si>
  <si>
    <t xml:space="preserve">$8.31, 0 orders</t>
  </si>
  <si>
    <t xml:space="preserve">$7.55, 0 orders</t>
  </si>
  <si>
    <t xml:space="preserve">$7.40, 0 orders</t>
  </si>
  <si>
    <t xml:space="preserve">Wrong product</t>
  </si>
  <si>
    <t xml:space="preserve">beach blanket boho (keyword inside 'boho couch blanket')</t>
  </si>
  <si>
    <t xml:space="preserve">Stop-list items done</t>
  </si>
  <si>
    <t xml:space="preserve">Note: 'bohemian blanket' was stopped on early-September data; it is now the best converter and moves to RETAIN.</t>
  </si>
  <si>
    <t xml:space="preserve">Rules, thresholds and inputs used by every check</t>
  </si>
  <si>
    <t xml:space="preserve">Blue values are inputs. Change them here and the whole workbook updates. Sources in column C.</t>
  </si>
  <si>
    <t xml:space="preserve">Item</t>
  </si>
  <si>
    <t xml:space="preserve">Value</t>
  </si>
  <si>
    <t xml:space="preserve">Source / note</t>
  </si>
  <si>
    <t xml:space="preserve">MAINTENANCE: hard portfolio cap per day</t>
  </si>
  <si>
    <t xml:space="preserve">Phase 0 hold ($25 a day) and D4 ($175 a week) from the decision pack; open decision for Joseph. Set as the 'SLEEPHORIA - Boho Blanket' portfolio budget. The 3 live campaign budgets add up to this ceiling; actual spend is limited by search volume.</t>
  </si>
  <si>
    <t xml:space="preserve">Phase 0 daily spend ceiling (upper limit)</t>
  </si>
  <si>
    <t xml:space="preserve">Pack file 12, Phase 0 Hold</t>
  </si>
  <si>
    <t xml:space="preserve">Phase 0 weekly ceiling (D4)</t>
  </si>
  <si>
    <t xml:space="preserve">Pack decision D4</t>
  </si>
  <si>
    <t xml:space="preserve">Phase 0 base bid, low</t>
  </si>
  <si>
    <t xml:space="preserve">Pack file 12</t>
  </si>
  <si>
    <t xml:space="preserve">Max Top of Search modifier</t>
  </si>
  <si>
    <t xml:space="preserve">Pack file 12: TOS max +300%</t>
  </si>
  <si>
    <t xml:space="preserve">Negate rule: clicks with 0 orders</t>
  </si>
  <si>
    <t xml:space="preserve">Pack file 12: 20+ clicks and 0 orders goes negative exact</t>
  </si>
  <si>
    <t xml:space="preserve">Lane read: clicks before judging CVR</t>
  </si>
  <si>
    <t xml:space="preserve">Keep and scale at CVR of at least</t>
  </si>
  <si>
    <t xml:space="preserve">Hold at lower bid at CVR of at least</t>
  </si>
  <si>
    <t xml:space="preserve">Pack file 12; under 2% pause</t>
  </si>
  <si>
    <t xml:space="preserve">Pause when ACoS exceeds break-even by</t>
  </si>
  <si>
    <t xml:space="preserve">Price, 50x60</t>
  </si>
  <si>
    <t xml:space="preserve">Live page 19 Oct</t>
  </si>
  <si>
    <t xml:space="preserve">Price, 60x80</t>
  </si>
  <si>
    <t xml:space="preserve">Contribution per unit, 50x60 (before ads)</t>
  </si>
  <si>
    <t xml:space="preserve">Pack file 08, ESTIMATE until D8</t>
  </si>
  <si>
    <t xml:space="preserve">Contribution per unit, 60x80 (before ads)</t>
  </si>
  <si>
    <t xml:space="preserve">BIDS: target ACoS for live campaigns</t>
  </si>
  <si>
    <t xml:space="preserve">Default = the plan's pause line (3x break-even). Break-even would push bids to a few cents.</t>
  </si>
  <si>
    <t xml:space="preserve">BIDS: smoothing weight (clicks)</t>
  </si>
  <si>
    <t xml:space="preserve">Small samples are pulled toward the product's on-Amazon CVR as if this many extra clicks had been seen</t>
  </si>
  <si>
    <t xml:space="preserve">BIDS: max bid cut per cycle</t>
  </si>
  <si>
    <t xml:space="preserve">config/thresholds.yml W5_bids correction_step_pct</t>
  </si>
  <si>
    <t xml:space="preserve">BIDS: max bid raise per cycle</t>
  </si>
  <si>
    <t xml:space="preserve">config/thresholds.yml W5_bids routine_step_pct</t>
  </si>
  <si>
    <t xml:space="preserve">BIDS: max TOS modifier change per cycle</t>
  </si>
  <si>
    <t xml:space="preserve">config/thresholds.yml W6_placement max_step_points</t>
  </si>
  <si>
    <t xml:space="preserve">BIDS: lowest base bid we set</t>
  </si>
  <si>
    <t xml:space="preserve">Floor so a live campaign keeps some delivery</t>
  </si>
  <si>
    <t xml:space="preserve">BIDS: ad days since launch</t>
  </si>
  <si>
    <t xml:space="preserve">Ads live 26 Aug to 22 Oct 2026</t>
  </si>
  <si>
    <t xml:space="preserve">REBUILD: unit session % needed before rebuilding</t>
  </si>
  <si>
    <t xml:space="preserve">Pack files 09, 10 and 14: 4% CVR gate for any reorder, 5th pattern or scale-up</t>
  </si>
  <si>
    <t xml:space="preserve">REBUILD: sessions needed for that read</t>
  </si>
  <si>
    <t xml:space="preserve">Pack task T1 threshold: judge a child after 300 sessions</t>
  </si>
  <si>
    <t xml:space="preserve">Derived (formulas)</t>
  </si>
  <si>
    <t xml:space="preserve">Break-even ACoS, 50x60</t>
  </si>
  <si>
    <t xml:space="preserve">Contribution / price</t>
  </si>
  <si>
    <t xml:space="preserve">Break-even ACoS, 60x80</t>
  </si>
  <si>
    <t xml:space="preserve">Break-even ACoS used in checks</t>
  </si>
  <si>
    <t xml:space="preserve">Average of the two sizes</t>
  </si>
  <si>
    <t xml:space="preserve">ACoS pause line (3x break-even)</t>
  </si>
  <si>
    <t xml:space="preserve">Used by the ACoS check</t>
  </si>
  <si>
    <t xml:space="preserve">Average contribution per unit</t>
  </si>
  <si>
    <t xml:space="preserve">Used for ad loss and break-even CPC</t>
  </si>
  <si>
    <t xml:space="preserve">Average price</t>
  </si>
  <si>
    <t xml:space="preserve">Product on-Amazon CVR since launch</t>
  </si>
  <si>
    <t xml:space="preserve">Smoothing prior</t>
  </si>
  <si>
    <t xml:space="preserve">Top of Search CVR factor</t>
  </si>
  <si>
    <t xml:space="preserve">TOS CVR / on-Amazon CVR</t>
  </si>
  <si>
    <t xml:space="preserve">Product page CVR factor</t>
  </si>
  <si>
    <t xml:space="preserve">Product-page CVR / on-Amazon CVR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</si>
</sst>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;&quot;($&quot;#,##0.00\);\-"/>
    <numFmt numFmtId="166" formatCode="#,##0;\(#,##0\);\-"/>
    <numFmt numFmtId="167" formatCode="0.0%;\(0.0%\);\-"/>
    <numFmt numFmtId="168" formatCode="@"/>
    <numFmt numFmtId="169" formatCode="0%"/>
    <numFmt numFmtId="170" formatCode="0.0"/>
    <numFmt numFmtId="171" formatCode="0.00%"/>
    <numFmt numFmtId="172" formatCode="0.0%"/>
    <numFmt numFmtId="173" formatCode="0.0\x"/>
    <numFmt numFmtId="174" formatCode="0.00"/>
    <numFmt numFmtId="175" formatCode="\$#,##0;&quot;($&quot;#,##0\);\-"/>
    <numFmt numFmtId="176" formatCode="0.00\x"/>
  </numFmts>
  <fonts count="6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{12: '=IF(OR(K45=&quot;&quot;,J45=&quot;&quot;),&quot;&quot;,K45*(1+J45))', 18: '=IF(M45=0,0,N45/M45)', 19: '=IF(N45=0,0,P45/N45)', 20: '=IF(N45=0,0,O45/N45)', 21: '=IF(Q45=0,&quot;&quot;,O45/Q45)', 22: '=IF(O45=0,0,Q45/O45)', 27: '=IF(W45=0,0,Y45/W45)', 28: '=IF(Z45=0,&quot;&quot;,X45/Z45)', 33: '=IF(AC45=0,0,AE45/AC45)', 42: '=IF(O45=0,0,AO45/O45)', 43: '=IF(N45&lt;Rules!$B$10,&quot;Under 20 clicks: too early&quot;,IF(P45=0,&quot;20+ clicks, 0 orders: negate / pause&quot;,IF(N45&lt;Rules!$B$11,&quot;Under 100 clicks: watch&quot;,IF(S45&gt;=Rules!$B$12,&quot;4%+: keep&quot;,IF(S45&gt;=Rules!$B$13,&quot;2% to 4%: hold at lower bid&quot;,&quot;Under 2%: pause&quot;)))))', 44: '=IF(O45=0,&quot;&quot;,IF(Q45=0,&quot;Spend, no sales&quot;,IF(U45&gt;Rules!$B$33,&quot;Above 3x break-even&quot;,&quot;Within 3x break-even&quot;)))', 45: '=IF(OR(J45=&quot;&quot;,H45&lt;&gt;&quot;ENABLED&quot;),&quot;&quot;,IF(J45&gt;Rules!$B$9,&quot;Above +300% cap&quot;,&quot;OK&quot;))'}"/>
      <family val="0"/>
      <charset val="1"/>
    </font>
    <font>
      <sz val="10"/>
      <color rgb="FF595959"/>
      <name val="{12: '=IF(OR(K45=&quot;&quot;,J45=&quot;&quot;),&quot;&quot;,K45*(1+J45))', 18: '=IF(M45=0,0,N45/M45)', 19: '=IF(N45=0,0,P45/N45)', 20: '=IF(N45=0,0,O45/N45)', 21: '=IF(Q45=0,&quot;&quot;,O45/Q45)', 22: '=IF(O45=0,0,Q45/O45)', 27: '=IF(W45=0,0,Y45/W45)', 28: '=IF(Z45=0,&quot;&quot;,X45/Z45)', 33: '=IF(AC45=0,0,AE45/AC45)', 42: '=IF(O45=0,0,AO45/O45)', 43: '=IF(N45&lt;Rules!$B$10,&quot;Under 20 clicks: too early&quot;,IF(P45=0,&quot;20+ clicks, 0 orders: negate / pause&quot;,IF(N45&lt;Rules!$B$11,&quot;Under 100 clicks: watch&quot;,IF(S45&gt;=Rules!$B$12,&quot;4%+: keep&quot;,IF(S45&gt;=Rules!$B$13,&quot;2% to 4%: hold at lower bid&quot;,&quot;Under 2%: pause&quot;)))))', 44: '=IF(O45=0,&quot;&quot;,IF(Q45=0,&quot;Spend, no sales&quot;,IF(U45&gt;Rules!$B$33,&quot;Above 3x break-even&quot;,&quot;Within 3x break-even&quot;)))', 45: '=IF(OR(J45=&quot;&quot;,H45&lt;&gt;&quot;ENABLED&quot;),&quot;&quot;,IF(J45&gt;Rules!$B$9,&quot;Above +300% cap&quot;,&quot;OK&quot;))'}"/>
      <family val="0"/>
      <charset val="1"/>
    </font>
    <font>
      <b val="true"/>
      <sz val="12"/>
      <name val="{12: '=IF(OR(K45=&quot;&quot;,J45=&quot;&quot;),&quot;&quot;,K45*(1+J45))', 18: '=IF(M45=0,0,N45/M45)', 19: '=IF(N45=0,0,P45/N45)', 20: '=IF(N45=0,0,O45/N45)', 21: '=IF(Q45=0,&quot;&quot;,O45/Q45)', 22: '=IF(O45=0,0,Q45/O45)', 27: '=IF(W45=0,0,Y45/W45)', 28: '=IF(Z45=0,&quot;&quot;,X45/Z45)', 33: '=IF(AC45=0,0,AE45/AC45)', 42: '=IF(O45=0,0,AO45/O45)', 43: '=IF(N45&lt;Rules!$B$10,&quot;Under 20 clicks: too early&quot;,IF(P45=0,&quot;20+ clicks, 0 orders: negate / pause&quot;,IF(N45&lt;Rules!$B$11,&quot;Under 100 clicks: watch&quot;,IF(S45&gt;=Rules!$B$12,&quot;4%+: keep&quot;,IF(S45&gt;=Rules!$B$13,&quot;2% to 4%: hold at lower bid&quot;,&quot;Under 2%: pause&quot;)))))', 44: '=IF(O45=0,&quot;&quot;,IF(Q45=0,&quot;Spend, no sales&quot;,IF(U45&gt;Rules!$B$33,&quot;Above 3x break-even&quot;,&quot;Within 3x break-even&quot;)))', 45: '=IF(OR(J45=&quot;&quot;,H45&lt;&gt;&quot;ENABLED&quot;),&quot;&quot;,IF(J45&gt;Rules!$B$9,&quot;Above +300% cap&quot;,&quot;OK&quot;))'}"/>
      <family val="0"/>
      <charset val="1"/>
    </font>
    <font>
      <sz val="10"/>
      <name val="{12: '=IF(OR(K45=&quot;&quot;,J45=&quot;&quot;),&quot;&quot;,K45*(1+J45))', 18: '=IF(M45=0,0,N45/M45)', 19: '=IF(N45=0,0,P45/N45)', 20: '=IF(N45=0,0,O45/N45)', 21: '=IF(Q45=0,&quot;&quot;,O45/Q45)', 22: '=IF(O45=0,0,Q45/O45)', 27: '=IF(W45=0,0,Y45/W45)', 28: '=IF(Z45=0,&quot;&quot;,X45/Z45)', 33: '=IF(AC45=0,0,AE45/AC45)', 42: '=IF(O45=0,0,AO45/O45)', 43: '=IF(N45&lt;Rules!$B$10,&quot;Under 20 clicks: too early&quot;,IF(P45=0,&quot;20+ clicks, 0 orders: negate / pause&quot;,IF(N45&lt;Rules!$B$11,&quot;Under 100 clicks: watch&quot;,IF(S45&gt;=Rules!$B$12,&quot;4%+: keep&quot;,IF(S45&gt;=Rules!$B$13,&quot;2% to 4%: hold at lower bid&quot;,&quot;Under 2%: pause&quot;)))))', 44: '=IF(O45=0,&quot;&quot;,IF(Q45=0,&quot;Spend, no sales&quot;,IF(U45&gt;Rules!$B$33,&quot;Above 3x break-even&quot;,&quot;Within 3x break-even&quot;)))', 45: '=IF(OR(J45=&quot;&quot;,H45&lt;&gt;&quot;ENABLED&quot;),&quot;&quot;,IF(J45&gt;Rules!$B$9,&quot;Above +300% cap&quot;,&quot;OK&quot;))'}"/>
      <family val="0"/>
      <charset val="1"/>
    </font>
    <font>
      <b val="true"/>
      <sz val="10"/>
      <color rgb="FFFFFFFF"/>
      <name val="{12: '=IF(OR(K45=&quot;&quot;,J45=&quot;&quot;),&quot;&quot;,K45*(1+J45))', 18: '=IF(M45=0,0,N45/M45)', 19: '=IF(N45=0,0,P45/N45)', 20: '=IF(N45=0,0,O45/N45)', 21: '=IF(Q45=0,&quot;&quot;,O45/Q45)', 22: '=IF(O45=0,0,Q45/O45)', 27: '=IF(W45=0,0,Y45/W45)', 28: '=IF(Z45=0,&quot;&quot;,X45/Z45)', 33: '=IF(AC45=0,0,AE45/AC45)', 42: '=IF(O45=0,0,AO45/O45)', 43: '=IF(N45&lt;Rules!$B$10,&quot;Under 20 clicks: too early&quot;,IF(P45=0,&quot;20+ clicks, 0 orders: negate / pause&quot;,IF(N45&lt;Rules!$B$11,&quot;Under 100 clicks: watch&quot;,IF(S45&gt;=Rules!$B$12,&quot;4%+: keep&quot;,IF(S45&gt;=Rules!$B$13,&quot;2% to 4%: hold at lower bid&quot;,&quot;Under 2%: pause&quot;)))))', 44: '=IF(O45=0,&quot;&quot;,IF(Q45=0,&quot;Spend, no sales&quot;,IF(U45&gt;Rules!$B$33,&quot;Above 3x break-even&quot;,&quot;Within 3x break-even&quot;)))', 45: '=IF(OR(J45=&quot;&quot;,H45&lt;&gt;&quot;ENABLED&quot;),&quot;&quot;,IF(J45&gt;Rules!$B$9,&quot;Above +300% cap&quot;,&quot;OK&quot;))'}"/>
      <family val="0"/>
      <charset val="1"/>
    </font>
    <font>
      <b val="true"/>
      <sz val="10"/>
      <name val="{12: '=IF(OR(K45=&quot;&quot;,J45=&quot;&quot;),&quot;&quot;,K45*(1+J45))', 18: '=IF(M45=0,0,N45/M45)', 19: '=IF(N45=0,0,P45/N45)', 20: '=IF(N45=0,0,O45/N45)', 21: '=IF(Q45=0,&quot;&quot;,O45/Q45)', 22: '=IF(O45=0,0,Q45/O45)', 27: '=IF(W45=0,0,Y45/W45)', 28: '=IF(Z45=0,&quot;&quot;,X45/Z45)', 33: '=IF(AC45=0,0,AE45/AC45)', 42: '=IF(O45=0,0,AO45/O45)', 43: '=IF(N45&lt;Rules!$B$10,&quot;Under 20 clicks: too early&quot;,IF(P45=0,&quot;20+ clicks, 0 orders: negate / pause&quot;,IF(N45&lt;Rules!$B$11,&quot;Under 100 clicks: watch&quot;,IF(S45&gt;=Rules!$B$12,&quot;4%+: keep&quot;,IF(S45&gt;=Rules!$B$13,&quot;2% to 4%: hold at lower bid&quot;,&quot;Under 2%: pause&quot;)))))', 44: '=IF(O45=0,&quot;&quot;,IF(Q45=0,&quot;Spend, no sales&quot;,IF(U45&gt;Rules!$B$33,&quot;Above 3x break-even&quot;,&quot;Within 3x break-even&quot;)))', 45: '=IF(OR(J45=&quot;&quot;,H45&lt;&gt;&quot;ENABLED&quot;),&quot;&quot;,IF(J45&gt;Rules!$B$9,&quot;Above +300% cap&quot;,&quot;OK&quot;))'}"/>
      <family val="0"/>
      <charset val="1"/>
    </font>
    <font>
      <b val="true"/>
      <sz val="14"/>
      <name val="{12: '=IF(OR(K45=&quot;&quot;,J45=&quot;&quot;),&quot;&quot;,K45*(1+J45))', 18: '=IF(M45=0,0,N45/M45)', 19: '=IF(N45=0,0,P45/N45)', 20: '=IF(N45=0,0,O45/N45)', 21: '=IF(Q45=0,&quot;&quot;,O45/Q45)', 22: '=IF(O45=0,0,Q45/O45)', 27: '=IF(W45=0,0,Y45/W45)', 28: '=IF(Z45=0,&quot;&quot;,X45/Z45)', 33: '=IF(AC45=0,0,AE45/AC45)', 42: '=IF(O45=0,0,AO45/O45)', 43: '=IF(N45&lt;Rules!$B$10,&quot;Under 20 clicks: too early&quot;,IF(P45=0,&quot;20+ clicks, 0 orders: negate / pause&quot;,IF(N45&lt;Rules!$B$11,&quot;Under 100 clicks: watch&quot;,IF(S45&gt;=Rules!$B$12,&quot;4%+: keep&quot;,IF(S45&gt;=Rules!$B$13,&quot;2% to 4%: hold at lower bid&quot;,&quot;Under 2%: pause&quot;)))))', 44: '=IF(O45=0,&quot;&quot;,IF(Q45=0,&quot;Spend, no sales&quot;,IF(U45&gt;Rules!$B$33,&quot;Above 3x break-even&quot;,&quot;Within 3x break-even&quot;)))', 45: '=IF(OR(J45=&quot;&quot;,H45&lt;&gt;&quot;ENABLED&quot;),&quot;&quot;,IF(J45&gt;Rules!$B$9,&quot;Above +300% cap&quot;,&quot;OK&quot;))'}"/>
      <family val="0"/>
      <charset val="1"/>
    </font>
    <font>
      <i val="true"/>
      <sz val="10"/>
      <color rgb="FF595959"/>
      <name val="{12: '=IF(OR(K45=&quot;&quot;,J45=&quot;&quot;),&quot;&quot;,K45*(1+J45))', 18: '=IF(M45=0,0,N45/M45)', 19: '=IF(N45=0,0,P45/N45)', 20: '=IF(N45=0,0,O45/N45)', 21: '=IF(Q45=0,&quot;&quot;,O45/Q45)', 22: '=IF(O45=0,0,Q45/O45)', 27: '=IF(W45=0,0,Y45/W45)', 28: '=IF(Z45=0,&quot;&quot;,X45/Z45)', 33: '=IF(AC45=0,0,AE45/AC45)', 42: '=IF(O45=0,0,AO45/O45)', 43: '=IF(N45&lt;Rules!$B$10,&quot;Under 20 clicks: too early&quot;,IF(P45=0,&quot;20+ clicks, 0 orders: negate / pause&quot;,IF(N45&lt;Rules!$B$11,&quot;Under 100 clicks: watch&quot;,IF(S45&gt;=Rules!$B$12,&quot;4%+: keep&quot;,IF(S45&gt;=Rules!$B$13,&quot;2% to 4%: hold at lower bid&quot;,&quot;Under 2%: pause&quot;)))))', 44: '=IF(O45=0,&quot;&quot;,IF(Q45=0,&quot;Spend, no sales&quot;,IF(U45&gt;Rules!$B$33,&quot;Above 3x break-even&quot;,&quot;Within 3x break-even&quot;)))', 45: '=IF(OR(J45=&quot;&quot;,H45&lt;&gt;&quot;ENABLED&quot;),&quot;&quot;,IF(J45&gt;Rules!$B$9,&quot;Above +300% cap&quot;,&quot;OK&quot;))'}"/>
      <family val="0"/>
      <charset val="1"/>
    </font>
    <font>
      <sz val="10"/>
      <color rgb="FF0000FF"/>
      <name val="{12: '=IF(OR(K45=&quot;&quot;,J45=&quot;&quot;),&quot;&quot;,K45*(1+J45))', 18: '=IF(M45=0,0,N45/M45)', 19: '=IF(N45=0,0,P45/N45)', 20: '=IF(N45=0,0,O45/N45)', 21: '=IF(Q45=0,&quot;&quot;,O45/Q45)', 22: '=IF(O45=0,0,Q45/O45)', 27: '=IF(W45=0,0,Y45/W45)', 28: '=IF(Z45=0,&quot;&quot;,X45/Z45)', 33: '=IF(AC45=0,0,AE45/AC45)', 42: '=IF(O45=0,0,AO45/O45)', 43: '=IF(N45&lt;Rules!$B$10,&quot;Under 20 clicks: too early&quot;,IF(P45=0,&quot;20+ clicks, 0 orders: negate / pause&quot;,IF(N45&lt;Rules!$B$11,&quot;Under 100 clicks: watch&quot;,IF(S45&gt;=Rules!$B$12,&quot;4%+: keep&quot;,IF(S45&gt;=Rules!$B$13,&quot;2% to 4%: hold at lower bid&quot;,&quot;Under 2%: pause&quot;)))))', 44: '=IF(O45=0,&quot;&quot;,IF(Q45=0,&quot;Spend, no sales&quot;,IF(U45&gt;Rules!$B$33,&quot;Above 3x break-even&quot;,&quot;Within 3x break-even&quot;)))', 45: '=IF(OR(J45=&quot;&quot;,H45&lt;&gt;&quot;ENABLED&quot;),&quot;&quot;,IF(J45&gt;Rules!$B$9,&quot;Above +300% cap&quot;,&quot;OK&quot;))'}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{12: '=IF(OR(K6=&quot;&quot;,J6=&quot;&quot;),&quot;&quot;,K6*(1+J6))', 18: '=IF(M6=0,0,N6/M6)', 19: '=IF(N6=0,0,P6/N6)', 20: '=IF(N6=0,0,O6/N6)', 21: '=IF(Q6=0,&quot;&quot;,O6/Q6)', 22: '=IF(O6=0,0,Q6/O6)', 27: '=IF(W6=0,0,Y6/W6)', 28: '=IF(Z6=0,&quot;&quot;,X6/Z6)', 33: '=IF(AC6=0,0,AE6/AC6)', 42: '=IF(O6=0,0,AO6/O6)', 43: '=IF(N6&lt;Rules!$B$10,&quot;Under 20 clicks: too early&quot;,IF(P6=0,&quot;20+ clicks, 0 orders: negate / pause&quot;,IF(N6&lt;Rules!$B$11,&quot;Under 100 clicks: watch&quot;,IF(S6&gt;=Rules!$B$12,&quot;4%+: keep&quot;,IF(S6&gt;=Rules!$B$13,&quot;2% to 4%: hold at lower bid&quot;,&quot;Under 2%: pause&quot;)))))', 44: '=IF(O6=0,&quot;&quot;,IF(Q6=0,&quot;Spend, no sales&quot;,IF(U6&gt;Rules!$B$33,&quot;Above 3x break-even&quot;,&quot;Within 3x break-even&quot;)))', 45: '=IF(OR(J6=&quot;&quot;,H6&lt;&gt;&quot;ENABLED&quot;),&quot;&quot;,IF(J6&gt;Rules!$B$9,&quot;Above +300% cap&quot;,&quot;OK&quot;))'}"/>
      <family val="0"/>
      <charset val="1"/>
    </font>
    <font>
      <sz val="10"/>
      <name val="{12: '=IF(OR(K7=&quot;&quot;,J7=&quot;&quot;),&quot;&quot;,K7*(1+J7))', 18: '=IF(M7=0,0,N7/M7)', 19: '=IF(N7=0,0,P7/N7)', 20: '=IF(N7=0,0,O7/N7)', 21: '=IF(Q7=0,&quot;&quot;,O7/Q7)', 22: '=IF(O7=0,0,Q7/O7)', 27: '=IF(W7=0,0,Y7/W7)', 28: '=IF(Z7=0,&quot;&quot;,X7/Z7)', 33: '=IF(AC7=0,0,AE7/AC7)', 42: '=IF(O7=0,0,AO7/O7)', 43: '=IF(N7&lt;Rules!$B$10,&quot;Under 20 clicks: too early&quot;,IF(P7=0,&quot;20+ clicks, 0 orders: negate / pause&quot;,IF(N7&lt;Rules!$B$11,&quot;Under 100 clicks: watch&quot;,IF(S7&gt;=Rules!$B$12,&quot;4%+: keep&quot;,IF(S7&gt;=Rules!$B$13,&quot;2% to 4%: hold at lower bid&quot;,&quot;Under 2%: pause&quot;)))))', 44: '=IF(O7=0,&quot;&quot;,IF(Q7=0,&quot;Spend, no sales&quot;,IF(U7&gt;Rules!$B$33,&quot;Above 3x break-even&quot;,&quot;Within 3x break-even&quot;)))', 45: '=IF(OR(J7=&quot;&quot;,H7&lt;&gt;&quot;ENABLED&quot;),&quot;&quot;,IF(J7&gt;Rules!$B$9,&quot;Above +300% cap&quot;,&quot;OK&quot;))'}"/>
      <family val="0"/>
      <charset val="1"/>
    </font>
    <font>
      <sz val="10"/>
      <name val="{12: '=IF(OR(K8=&quot;&quot;,J8=&quot;&quot;),&quot;&quot;,K8*(1+J8))', 18: '=IF(M8=0,0,N8/M8)', 19: '=IF(N8=0,0,P8/N8)', 20: '=IF(N8=0,0,O8/N8)', 21: '=IF(Q8=0,&quot;&quot;,O8/Q8)', 22: '=IF(O8=0,0,Q8/O8)', 27: '=IF(W8=0,0,Y8/W8)', 28: '=IF(Z8=0,&quot;&quot;,X8/Z8)', 33: '=IF(AC8=0,0,AE8/AC8)', 42: '=IF(O8=0,0,AO8/O8)', 43: '=IF(N8&lt;Rules!$B$10,&quot;Under 20 clicks: too early&quot;,IF(P8=0,&quot;20+ clicks, 0 orders: negate / pause&quot;,IF(N8&lt;Rules!$B$11,&quot;Under 100 clicks: watch&quot;,IF(S8&gt;=Rules!$B$12,&quot;4%+: keep&quot;,IF(S8&gt;=Rules!$B$13,&quot;2% to 4%: hold at lower bid&quot;,&quot;Under 2%: pause&quot;)))))', 44: '=IF(O8=0,&quot;&quot;,IF(Q8=0,&quot;Spend, no sales&quot;,IF(U8&gt;Rules!$B$33,&quot;Above 3x break-even&quot;,&quot;Within 3x break-even&quot;)))', 45: '=IF(OR(J8=&quot;&quot;,H8&lt;&gt;&quot;ENABLED&quot;),&quot;&quot;,IF(J8&gt;Rules!$B$9,&quot;Above +300% cap&quot;,&quot;OK&quot;))'}"/>
      <family val="0"/>
      <charset val="1"/>
    </font>
    <font>
      <sz val="10"/>
      <name val="{12: '=IF(OR(K9=&quot;&quot;,J9=&quot;&quot;),&quot;&quot;,K9*(1+J9))', 18: '=IF(M9=0,0,N9/M9)', 19: '=IF(N9=0,0,P9/N9)', 20: '=IF(N9=0,0,O9/N9)', 21: '=IF(Q9=0,&quot;&quot;,O9/Q9)', 22: '=IF(O9=0,0,Q9/O9)', 27: '=IF(W9=0,0,Y9/W9)', 28: '=IF(Z9=0,&quot;&quot;,X9/Z9)', 33: '=IF(AC9=0,0,AE9/AC9)', 42: '=IF(O9=0,0,AO9/O9)', 43: '=IF(N9&lt;Rules!$B$10,&quot;Under 20 clicks: too early&quot;,IF(P9=0,&quot;20+ clicks, 0 orders: negate / pause&quot;,IF(N9&lt;Rules!$B$11,&quot;Under 100 clicks: watch&quot;,IF(S9&gt;=Rules!$B$12,&quot;4%+: keep&quot;,IF(S9&gt;=Rules!$B$13,&quot;2% to 4%: hold at lower bid&quot;,&quot;Under 2%: pause&quot;)))))', 44: '=IF(O9=0,&quot;&quot;,IF(Q9=0,&quot;Spend, no sales&quot;,IF(U9&gt;Rules!$B$33,&quot;Above 3x break-even&quot;,&quot;Within 3x break-even&quot;)))', 45: '=IF(OR(J9=&quot;&quot;,H9&lt;&gt;&quot;ENABLED&quot;),&quot;&quot;,IF(J9&gt;Rules!$B$9,&quot;Above +300% cap&quot;,&quot;OK&quot;))'}"/>
      <family val="0"/>
      <charset val="1"/>
    </font>
    <font>
      <sz val="10"/>
      <name val="{12: '=IF(OR(K10=&quot;&quot;,J10=&quot;&quot;),&quot;&quot;,K10*(1+J10))', 18: '=IF(M10=0,0,N10/M10)', 19: '=IF(N10=0,0,P10/N10)', 20: '=IF(N10=0,0,O10/N10)', 21: '=IF(Q10=0,&quot;&quot;,O10/Q10)', 22: '=IF(O10=0,0,Q10/O10)', 27: '=IF(W10=0,0,Y10/W10)', 28: '=IF(Z10=0,&quot;&quot;,X10/Z10)', 33: '=IF(AC10=0,0,AE10/AC10)', 42: '=IF(O10=0,0,AO10/O10)', 43: '=IF(N10&lt;Rules!$B$10,&quot;Under 20 clicks: too early&quot;,IF(P10=0,&quot;20+ clicks, 0 orders: negate / pause&quot;,IF(N10&lt;Rules!$B$11,&quot;Under 100 clicks: watch&quot;,IF(S10&gt;=Rules!$B$12,&quot;4%+: keep&quot;,IF(S10&gt;=Rules!$B$13,&quot;2% to 4%: hold at lower bid&quot;,&quot;Under 2%: pause&quot;)))))', 44: '=IF(O10=0,&quot;&quot;,IF(Q10=0,&quot;Spend, no sales&quot;,IF(U10&gt;Rules!$B$33,&quot;Above 3x break-even&quot;,&quot;Within 3x break-even&quot;)))', 45: '=IF(OR(J10=&quot;&quot;,H10&lt;&gt;&quot;ENABLED&quot;),&quot;&quot;,IF(J10&gt;Rules!$B$9,&quot;Above +300% cap&quot;,&quot;OK&quot;))'}"/>
      <family val="0"/>
      <charset val="1"/>
    </font>
    <font>
      <sz val="10"/>
      <name val="{12: '=IF(OR(K11=&quot;&quot;,J11=&quot;&quot;),&quot;&quot;,K11*(1+J11))', 18: '=IF(M11=0,0,N11/M11)', 19: '=IF(N11=0,0,P11/N11)', 20: '=IF(N11=0,0,O11/N11)', 21: '=IF(Q11=0,&quot;&quot;,O11/Q11)', 22: '=IF(O11=0,0,Q11/O11)', 27: '=IF(W11=0,0,Y11/W11)', 28: '=IF(Z11=0,&quot;&quot;,X11/Z11)', 33: '=IF(AC11=0,0,AE11/AC11)', 42: '=IF(O11=0,0,AO11/O11)', 43: '=IF(N11&lt;Rules!$B$10,&quot;Under 20 clicks: too early&quot;,IF(P11=0,&quot;20+ clicks, 0 orders: negate / pause&quot;,IF(N11&lt;Rules!$B$11,&quot;Under 100 clicks: watch&quot;,IF(S11&gt;=Rules!$B$12,&quot;4%+: keep&quot;,IF(S11&gt;=Rules!$B$13,&quot;2% to 4%: hold at lower bid&quot;,&quot;Under 2%: pause&quot;)))))', 44: '=IF(O11=0,&quot;&quot;,IF(Q11=0,&quot;Spend, no sales&quot;,IF(U11&gt;Rules!$B$33,&quot;Above 3x break-even&quot;,&quot;Within 3x break-even&quot;)))', 45: '=IF(OR(J11=&quot;&quot;,H11&lt;&gt;&quot;ENABLED&quot;),&quot;&quot;,IF(J11&gt;Rules!$B$9,&quot;Above +300% cap&quot;,&quot;OK&quot;))'}"/>
      <family val="0"/>
      <charset val="1"/>
    </font>
    <font>
      <sz val="10"/>
      <name val="{12: '=IF(OR(K12=&quot;&quot;,J12=&quot;&quot;),&quot;&quot;,K12*(1+J12))', 18: '=IF(M12=0,0,N12/M12)', 19: '=IF(N12=0,0,P12/N12)', 20: '=IF(N12=0,0,O12/N12)', 21: '=IF(Q12=0,&quot;&quot;,O12/Q12)', 22: '=IF(O12=0,0,Q12/O12)', 27: '=IF(W12=0,0,Y12/W12)', 28: '=IF(Z12=0,&quot;&quot;,X12/Z12)', 33: '=IF(AC12=0,0,AE12/AC12)', 42: '=IF(O12=0,0,AO12/O12)', 43: '=IF(N12&lt;Rules!$B$10,&quot;Under 20 clicks: too early&quot;,IF(P12=0,&quot;20+ clicks, 0 orders: negate / pause&quot;,IF(N12&lt;Rules!$B$11,&quot;Under 100 clicks: watch&quot;,IF(S12&gt;=Rules!$B$12,&quot;4%+: keep&quot;,IF(S12&gt;=Rules!$B$13,&quot;2% to 4%: hold at lower bid&quot;,&quot;Under 2%: pause&quot;)))))', 44: '=IF(O12=0,&quot;&quot;,IF(Q12=0,&quot;Spend, no sales&quot;,IF(U12&gt;Rules!$B$33,&quot;Above 3x break-even&quot;,&quot;Within 3x break-even&quot;)))', 45: '=IF(OR(J12=&quot;&quot;,H12&lt;&gt;&quot;ENABLED&quot;),&quot;&quot;,IF(J12&gt;Rules!$B$9,&quot;Above +300% cap&quot;,&quot;OK&quot;))'}"/>
      <family val="0"/>
      <charset val="1"/>
    </font>
    <font>
      <sz val="10"/>
      <name val="{12: '=IF(OR(K13=&quot;&quot;,J13=&quot;&quot;),&quot;&quot;,K13*(1+J13))', 18: '=IF(M13=0,0,N13/M13)', 19: '=IF(N13=0,0,P13/N13)', 20: '=IF(N13=0,0,O13/N13)', 21: '=IF(Q13=0,&quot;&quot;,O13/Q13)', 22: '=IF(O13=0,0,Q13/O13)', 27: '=IF(W13=0,0,Y13/W13)', 28: '=IF(Z13=0,&quot;&quot;,X13/Z13)', 33: '=IF(AC13=0,0,AE13/AC13)', 42: '=IF(O13=0,0,AO13/O13)', 43: '=IF(N13&lt;Rules!$B$10,&quot;Under 20 clicks: too early&quot;,IF(P13=0,&quot;20+ clicks, 0 orders: negate / pause&quot;,IF(N13&lt;Rules!$B$11,&quot;Under 100 clicks: watch&quot;,IF(S13&gt;=Rules!$B$12,&quot;4%+: keep&quot;,IF(S13&gt;=Rules!$B$13,&quot;2% to 4%: hold at lower bid&quot;,&quot;Under 2%: pause&quot;)))))', 44: '=IF(O13=0,&quot;&quot;,IF(Q13=0,&quot;Spend, no sales&quot;,IF(U13&gt;Rules!$B$33,&quot;Above 3x break-even&quot;,&quot;Within 3x break-even&quot;)))', 45: '=IF(OR(J13=&quot;&quot;,H13&lt;&gt;&quot;ENABLED&quot;),&quot;&quot;,IF(J13&gt;Rules!$B$9,&quot;Above +300% cap&quot;,&quot;OK&quot;))'}"/>
      <family val="0"/>
      <charset val="1"/>
    </font>
    <font>
      <sz val="10"/>
      <name val="{12: '=IF(OR(K14=&quot;&quot;,J14=&quot;&quot;),&quot;&quot;,K14*(1+J14))', 18: '=IF(M14=0,0,N14/M14)', 19: '=IF(N14=0,0,P14/N14)', 20: '=IF(N14=0,0,O14/N14)', 21: '=IF(Q14=0,&quot;&quot;,O14/Q14)', 22: '=IF(O14=0,0,Q14/O14)', 27: '=IF(W14=0,0,Y14/W14)', 28: '=IF(Z14=0,&quot;&quot;,X14/Z14)', 33: '=IF(AC14=0,0,AE14/AC14)', 42: '=IF(O14=0,0,AO14/O14)', 43: '=IF(N14&lt;Rules!$B$10,&quot;Under 20 clicks: too early&quot;,IF(P14=0,&quot;20+ clicks, 0 orders: negate / pause&quot;,IF(N14&lt;Rules!$B$11,&quot;Under 100 clicks: watch&quot;,IF(S14&gt;=Rules!$B$12,&quot;4%+: keep&quot;,IF(S14&gt;=Rules!$B$13,&quot;2% to 4%: hold at lower bid&quot;,&quot;Under 2%: pause&quot;)))))', 44: '=IF(O14=0,&quot;&quot;,IF(Q14=0,&quot;Spend, no sales&quot;,IF(U14&gt;Rules!$B$33,&quot;Above 3x break-even&quot;,&quot;Within 3x break-even&quot;)))', 45: '=IF(OR(J14=&quot;&quot;,H14&lt;&gt;&quot;ENABLED&quot;),&quot;&quot;,IF(J14&gt;Rules!$B$9,&quot;Above +300% cap&quot;,&quot;OK&quot;))'}"/>
      <family val="0"/>
      <charset val="1"/>
    </font>
    <font>
      <sz val="10"/>
      <name val="{12: '=IF(OR(K15=&quot;&quot;,J15=&quot;&quot;),&quot;&quot;,K15*(1+J15))', 18: '=IF(M15=0,0,N15/M15)', 19: '=IF(N15=0,0,P15/N15)', 20: '=IF(N15=0,0,O15/N15)', 21: '=IF(Q15=0,&quot;&quot;,O15/Q15)', 22: '=IF(O15=0,0,Q15/O15)', 27: '=IF(W15=0,0,Y15/W15)', 28: '=IF(Z15=0,&quot;&quot;,X15/Z15)', 33: '=IF(AC15=0,0,AE15/AC15)', 42: '=IF(O15=0,0,AO15/O15)', 43: '=IF(N15&lt;Rules!$B$10,&quot;Under 20 clicks: too early&quot;,IF(P15=0,&quot;20+ clicks, 0 orders: negate / pause&quot;,IF(N15&lt;Rules!$B$11,&quot;Under 100 clicks: watch&quot;,IF(S15&gt;=Rules!$B$12,&quot;4%+: keep&quot;,IF(S15&gt;=Rules!$B$13,&quot;2% to 4%: hold at lower bid&quot;,&quot;Under 2%: pause&quot;)))))', 44: '=IF(O15=0,&quot;&quot;,IF(Q15=0,&quot;Spend, no sales&quot;,IF(U15&gt;Rules!$B$33,&quot;Above 3x break-even&quot;,&quot;Within 3x break-even&quot;)))', 45: '=IF(OR(J15=&quot;&quot;,H15&lt;&gt;&quot;ENABLED&quot;),&quot;&quot;,IF(J15&gt;Rules!$B$9,&quot;Above +300% cap&quot;,&quot;OK&quot;))'}"/>
      <family val="0"/>
      <charset val="1"/>
    </font>
    <font>
      <sz val="10"/>
      <name val="{12: '=IF(OR(K16=&quot;&quot;,J16=&quot;&quot;),&quot;&quot;,K16*(1+J16))', 18: '=IF(M16=0,0,N16/M16)', 19: '=IF(N16=0,0,P16/N16)', 20: '=IF(N16=0,0,O16/N16)', 21: '=IF(Q16=0,&quot;&quot;,O16/Q16)', 22: '=IF(O16=0,0,Q16/O16)', 27: '=IF(W16=0,0,Y16/W16)', 28: '=IF(Z16=0,&quot;&quot;,X16/Z16)', 33: '=IF(AC16=0,0,AE16/AC16)', 42: '=IF(O16=0,0,AO16/O16)', 43: '=IF(N16&lt;Rules!$B$10,&quot;Under 20 clicks: too early&quot;,IF(P16=0,&quot;20+ clicks, 0 orders: negate / pause&quot;,IF(N16&lt;Rules!$B$11,&quot;Under 100 clicks: watch&quot;,IF(S16&gt;=Rules!$B$12,&quot;4%+: keep&quot;,IF(S16&gt;=Rules!$B$13,&quot;2% to 4%: hold at lower bid&quot;,&quot;Under 2%: pause&quot;)))))', 44: '=IF(O16=0,&quot;&quot;,IF(Q16=0,&quot;Spend, no sales&quot;,IF(U16&gt;Rules!$B$33,&quot;Above 3x break-even&quot;,&quot;Within 3x break-even&quot;)))', 45: '=IF(OR(J16=&quot;&quot;,H16&lt;&gt;&quot;ENABLED&quot;),&quot;&quot;,IF(J16&gt;Rules!$B$9,&quot;Above +300% cap&quot;,&quot;OK&quot;))'}"/>
      <family val="0"/>
      <charset val="1"/>
    </font>
    <font>
      <sz val="10"/>
      <name val="{12: '=IF(OR(K17=&quot;&quot;,J17=&quot;&quot;),&quot;&quot;,K17*(1+J17))', 18: '=IF(M17=0,0,N17/M17)', 19: '=IF(N17=0,0,P17/N17)', 20: '=IF(N17=0,0,O17/N17)', 21: '=IF(Q17=0,&quot;&quot;,O17/Q17)', 22: '=IF(O17=0,0,Q17/O17)', 27: '=IF(W17=0,0,Y17/W17)', 28: '=IF(Z17=0,&quot;&quot;,X17/Z17)', 33: '=IF(AC17=0,0,AE17/AC17)', 42: '=IF(O17=0,0,AO17/O17)', 43: '=IF(N17&lt;Rules!$B$10,&quot;Under 20 clicks: too early&quot;,IF(P17=0,&quot;20+ clicks, 0 orders: negate / pause&quot;,IF(N17&lt;Rules!$B$11,&quot;Under 100 clicks: watch&quot;,IF(S17&gt;=Rules!$B$12,&quot;4%+: keep&quot;,IF(S17&gt;=Rules!$B$13,&quot;2% to 4%: hold at lower bid&quot;,&quot;Under 2%: pause&quot;)))))', 44: '=IF(O17=0,&quot;&quot;,IF(Q17=0,&quot;Spend, no sales&quot;,IF(U17&gt;Rules!$B$33,&quot;Above 3x break-even&quot;,&quot;Within 3x break-even&quot;)))', 45: '=IF(OR(J17=&quot;&quot;,H17&lt;&gt;&quot;ENABLED&quot;),&quot;&quot;,IF(J17&gt;Rules!$B$9,&quot;Above +300% cap&quot;,&quot;OK&quot;))'}"/>
      <family val="0"/>
      <charset val="1"/>
    </font>
    <font>
      <sz val="10"/>
      <name val="{12: '=IF(OR(K18=&quot;&quot;,J18=&quot;&quot;),&quot;&quot;,K18*(1+J18))', 18: '=IF(M18=0,0,N18/M18)', 19: '=IF(N18=0,0,P18/N18)', 20: '=IF(N18=0,0,O18/N18)', 21: '=IF(Q18=0,&quot;&quot;,O18/Q18)', 22: '=IF(O18=0,0,Q18/O18)', 27: '=IF(W18=0,0,Y18/W18)', 28: '=IF(Z18=0,&quot;&quot;,X18/Z18)', 33: '=IF(AC18=0,0,AE18/AC18)', 42: '=IF(O18=0,0,AO18/O18)', 43: '=IF(N18&lt;Rules!$B$10,&quot;Under 20 clicks: too early&quot;,IF(P18=0,&quot;20+ clicks, 0 orders: negate / pause&quot;,IF(N18&lt;Rules!$B$11,&quot;Under 100 clicks: watch&quot;,IF(S18&gt;=Rules!$B$12,&quot;4%+: keep&quot;,IF(S18&gt;=Rules!$B$13,&quot;2% to 4%: hold at lower bid&quot;,&quot;Under 2%: pause&quot;)))))', 44: '=IF(O18=0,&quot;&quot;,IF(Q18=0,&quot;Spend, no sales&quot;,IF(U18&gt;Rules!$B$33,&quot;Above 3x break-even&quot;,&quot;Within 3x break-even&quot;)))', 45: '=IF(OR(J18=&quot;&quot;,H18&lt;&gt;&quot;ENABLED&quot;),&quot;&quot;,IF(J18&gt;Rules!$B$9,&quot;Above +300% cap&quot;,&quot;OK&quot;))'}"/>
      <family val="0"/>
      <charset val="1"/>
    </font>
    <font>
      <sz val="10"/>
      <name val="{12: '=IF(OR(K19=&quot;&quot;,J19=&quot;&quot;),&quot;&quot;,K19*(1+J19))', 18: '=IF(M19=0,0,N19/M19)', 19: '=IF(N19=0,0,P19/N19)', 20: '=IF(N19=0,0,O19/N19)', 21: '=IF(Q19=0,&quot;&quot;,O19/Q19)', 22: '=IF(O19=0,0,Q19/O19)', 27: '=IF(W19=0,0,Y19/W19)', 28: '=IF(Z19=0,&quot;&quot;,X19/Z19)', 33: '=IF(AC19=0,0,AE19/AC19)', 42: '=IF(O19=0,0,AO19/O19)', 43: '=IF(N19&lt;Rules!$B$10,&quot;Under 20 clicks: too early&quot;,IF(P19=0,&quot;20+ clicks, 0 orders: negate / pause&quot;,IF(N19&lt;Rules!$B$11,&quot;Under 100 clicks: watch&quot;,IF(S19&gt;=Rules!$B$12,&quot;4%+: keep&quot;,IF(S19&gt;=Rules!$B$13,&quot;2% to 4%: hold at lower bid&quot;,&quot;Under 2%: pause&quot;)))))', 44: '=IF(O19=0,&quot;&quot;,IF(Q19=0,&quot;Spend, no sales&quot;,IF(U19&gt;Rules!$B$33,&quot;Above 3x break-even&quot;,&quot;Within 3x break-even&quot;)))', 45: '=IF(OR(J19=&quot;&quot;,H19&lt;&gt;&quot;ENABLED&quot;),&quot;&quot;,IF(J19&gt;Rules!$B$9,&quot;Above +300% cap&quot;,&quot;OK&quot;))'}"/>
      <family val="0"/>
      <charset val="1"/>
    </font>
    <font>
      <sz val="10"/>
      <name val="{12: '=IF(OR(K20=&quot;&quot;,J20=&quot;&quot;),&quot;&quot;,K20*(1+J20))', 18: '=IF(M20=0,0,N20/M20)', 19: '=IF(N20=0,0,P20/N20)', 20: '=IF(N20=0,0,O20/N20)', 21: '=IF(Q20=0,&quot;&quot;,O20/Q20)', 22: '=IF(O20=0,0,Q20/O20)', 27: '=IF(W20=0,0,Y20/W20)', 28: '=IF(Z20=0,&quot;&quot;,X20/Z20)', 33: '=IF(AC20=0,0,AE20/AC20)', 42: '=IF(O20=0,0,AO20/O20)', 43: '=IF(N20&lt;Rules!$B$10,&quot;Under 20 clicks: too early&quot;,IF(P20=0,&quot;20+ clicks, 0 orders: negate / pause&quot;,IF(N20&lt;Rules!$B$11,&quot;Under 100 clicks: watch&quot;,IF(S20&gt;=Rules!$B$12,&quot;4%+: keep&quot;,IF(S20&gt;=Rules!$B$13,&quot;2% to 4%: hold at lower bid&quot;,&quot;Under 2%: pause&quot;)))))', 44: '=IF(O20=0,&quot;&quot;,IF(Q20=0,&quot;Spend, no sales&quot;,IF(U20&gt;Rules!$B$33,&quot;Above 3x break-even&quot;,&quot;Within 3x break-even&quot;)))', 45: '=IF(OR(J20=&quot;&quot;,H20&lt;&gt;&quot;ENABLED&quot;),&quot;&quot;,IF(J20&gt;Rules!$B$9,&quot;Above +300% cap&quot;,&quot;OK&quot;))'}"/>
      <family val="0"/>
      <charset val="1"/>
    </font>
    <font>
      <sz val="10"/>
      <name val="{12: '=IF(OR(K21=&quot;&quot;,J21=&quot;&quot;),&quot;&quot;,K21*(1+J21))', 18: '=IF(M21=0,0,N21/M21)', 19: '=IF(N21=0,0,P21/N21)', 20: '=IF(N21=0,0,O21/N21)', 21: '=IF(Q21=0,&quot;&quot;,O21/Q21)', 22: '=IF(O21=0,0,Q21/O21)', 27: '=IF(W21=0,0,Y21/W21)', 28: '=IF(Z21=0,&quot;&quot;,X21/Z21)', 33: '=IF(AC21=0,0,AE21/AC21)', 42: '=IF(O21=0,0,AO21/O21)', 43: '=IF(N21&lt;Rules!$B$10,&quot;Under 20 clicks: too early&quot;,IF(P21=0,&quot;20+ clicks, 0 orders: negate / pause&quot;,IF(N21&lt;Rules!$B$11,&quot;Under 100 clicks: watch&quot;,IF(S21&gt;=Rules!$B$12,&quot;4%+: keep&quot;,IF(S21&gt;=Rules!$B$13,&quot;2% to 4%: hold at lower bid&quot;,&quot;Under 2%: pause&quot;)))))', 44: '=IF(O21=0,&quot;&quot;,IF(Q21=0,&quot;Spend, no sales&quot;,IF(U21&gt;Rules!$B$33,&quot;Above 3x break-even&quot;,&quot;Within 3x break-even&quot;)))', 45: '=IF(OR(J21=&quot;&quot;,H21&lt;&gt;&quot;ENABLED&quot;),&quot;&quot;,IF(J21&gt;Rules!$B$9,&quot;Above +300% cap&quot;,&quot;OK&quot;))'}"/>
      <family val="0"/>
      <charset val="1"/>
    </font>
    <font>
      <sz val="10"/>
      <name val="{12: '=IF(OR(K22=&quot;&quot;,J22=&quot;&quot;),&quot;&quot;,K22*(1+J22))', 18: '=IF(M22=0,0,N22/M22)', 19: '=IF(N22=0,0,P22/N22)', 20: '=IF(N22=0,0,O22/N22)', 21: '=IF(Q22=0,&quot;&quot;,O22/Q22)', 22: '=IF(O22=0,0,Q22/O22)', 27: '=IF(W22=0,0,Y22/W22)', 28: '=IF(Z22=0,&quot;&quot;,X22/Z22)', 33: '=IF(AC22=0,0,AE22/AC22)', 42: '=IF(O22=0,0,AO22/O22)', 43: '=IF(N22&lt;Rules!$B$10,&quot;Under 20 clicks: too early&quot;,IF(P22=0,&quot;20+ clicks, 0 orders: negate / pause&quot;,IF(N22&lt;Rules!$B$11,&quot;Under 100 clicks: watch&quot;,IF(S22&gt;=Rules!$B$12,&quot;4%+: keep&quot;,IF(S22&gt;=Rules!$B$13,&quot;2% to 4%: hold at lower bid&quot;,&quot;Under 2%: pause&quot;)))))', 44: '=IF(O22=0,&quot;&quot;,IF(Q22=0,&quot;Spend, no sales&quot;,IF(U22&gt;Rules!$B$33,&quot;Above 3x break-even&quot;,&quot;Within 3x break-even&quot;)))', 45: '=IF(OR(J22=&quot;&quot;,H22&lt;&gt;&quot;ENABLED&quot;),&quot;&quot;,IF(J22&gt;Rules!$B$9,&quot;Above +300% cap&quot;,&quot;OK&quot;))'}"/>
      <family val="0"/>
      <charset val="1"/>
    </font>
    <font>
      <sz val="10"/>
      <name val="{12: '=IF(OR(K23=&quot;&quot;,J23=&quot;&quot;),&quot;&quot;,K23*(1+J23))', 18: '=IF(M23=0,0,N23/M23)', 19: '=IF(N23=0,0,P23/N23)', 20: '=IF(N23=0,0,O23/N23)', 21: '=IF(Q23=0,&quot;&quot;,O23/Q23)', 22: '=IF(O23=0,0,Q23/O23)', 27: '=IF(W23=0,0,Y23/W23)', 28: '=IF(Z23=0,&quot;&quot;,X23/Z23)', 33: '=IF(AC23=0,0,AE23/AC23)', 42: '=IF(O23=0,0,AO23/O23)', 43: '=IF(N23&lt;Rules!$B$10,&quot;Under 20 clicks: too early&quot;,IF(P23=0,&quot;20+ clicks, 0 orders: negate / pause&quot;,IF(N23&lt;Rules!$B$11,&quot;Under 100 clicks: watch&quot;,IF(S23&gt;=Rules!$B$12,&quot;4%+: keep&quot;,IF(S23&gt;=Rules!$B$13,&quot;2% to 4%: hold at lower bid&quot;,&quot;Under 2%: pause&quot;)))))', 44: '=IF(O23=0,&quot;&quot;,IF(Q23=0,&quot;Spend, no sales&quot;,IF(U23&gt;Rules!$B$33,&quot;Above 3x break-even&quot;,&quot;Within 3x break-even&quot;)))', 45: '=IF(OR(J23=&quot;&quot;,H23&lt;&gt;&quot;ENABLED&quot;),&quot;&quot;,IF(J23&gt;Rules!$B$9,&quot;Above +300% cap&quot;,&quot;OK&quot;))'}"/>
      <family val="0"/>
      <charset val="1"/>
    </font>
    <font>
      <sz val="10"/>
      <name val="{12: '=IF(OR(K24=&quot;&quot;,J24=&quot;&quot;),&quot;&quot;,K24*(1+J24))', 18: '=IF(M24=0,0,N24/M24)', 19: '=IF(N24=0,0,P24/N24)', 20: '=IF(N24=0,0,O24/N24)', 21: '=IF(Q24=0,&quot;&quot;,O24/Q24)', 22: '=IF(O24=0,0,Q24/O24)', 27: '=IF(W24=0,0,Y24/W24)', 28: '=IF(Z24=0,&quot;&quot;,X24/Z24)', 33: '=IF(AC24=0,0,AE24/AC24)', 42: '=IF(O24=0,0,AO24/O24)', 43: '=IF(N24&lt;Rules!$B$10,&quot;Under 20 clicks: too early&quot;,IF(P24=0,&quot;20+ clicks, 0 orders: negate / pause&quot;,IF(N24&lt;Rules!$B$11,&quot;Under 100 clicks: watch&quot;,IF(S24&gt;=Rules!$B$12,&quot;4%+: keep&quot;,IF(S24&gt;=Rules!$B$13,&quot;2% to 4%: hold at lower bid&quot;,&quot;Under 2%: pause&quot;)))))', 44: '=IF(O24=0,&quot;&quot;,IF(Q24=0,&quot;Spend, no sales&quot;,IF(U24&gt;Rules!$B$33,&quot;Above 3x break-even&quot;,&quot;Within 3x break-even&quot;)))', 45: '=IF(OR(J24=&quot;&quot;,H24&lt;&gt;&quot;ENABLED&quot;),&quot;&quot;,IF(J24&gt;Rules!$B$9,&quot;Above +300% cap&quot;,&quot;OK&quot;))'}"/>
      <family val="0"/>
      <charset val="1"/>
    </font>
    <font>
      <sz val="10"/>
      <name val="{12: '=IF(OR(K25=&quot;&quot;,J25=&quot;&quot;),&quot;&quot;,K25*(1+J25))', 18: '=IF(M25=0,0,N25/M25)', 19: '=IF(N25=0,0,P25/N25)', 20: '=IF(N25=0,0,O25/N25)', 21: '=IF(Q25=0,&quot;&quot;,O25/Q25)', 22: '=IF(O25=0,0,Q25/O25)', 27: '=IF(W25=0,0,Y25/W25)', 28: '=IF(Z25=0,&quot;&quot;,X25/Z25)', 33: '=IF(AC25=0,0,AE25/AC25)', 42: '=IF(O25=0,0,AO25/O25)', 43: '=IF(N25&lt;Rules!$B$10,&quot;Under 20 clicks: too early&quot;,IF(P25=0,&quot;20+ clicks, 0 orders: negate / pause&quot;,IF(N25&lt;Rules!$B$11,&quot;Under 100 clicks: watch&quot;,IF(S25&gt;=Rules!$B$12,&quot;4%+: keep&quot;,IF(S25&gt;=Rules!$B$13,&quot;2% to 4%: hold at lower bid&quot;,&quot;Under 2%: pause&quot;)))))', 44: '=IF(O25=0,&quot;&quot;,IF(Q25=0,&quot;Spend, no sales&quot;,IF(U25&gt;Rules!$B$33,&quot;Above 3x break-even&quot;,&quot;Within 3x break-even&quot;)))', 45: '=IF(OR(J25=&quot;&quot;,H25&lt;&gt;&quot;ENABLED&quot;),&quot;&quot;,IF(J25&gt;Rules!$B$9,&quot;Above +300% cap&quot;,&quot;OK&quot;))'}"/>
      <family val="0"/>
      <charset val="1"/>
    </font>
    <font>
      <sz val="10"/>
      <name val="{12: '=IF(OR(K26=&quot;&quot;,J26=&quot;&quot;),&quot;&quot;,K26*(1+J26))', 18: '=IF(M26=0,0,N26/M26)', 19: '=IF(N26=0,0,P26/N26)', 20: '=IF(N26=0,0,O26/N26)', 21: '=IF(Q26=0,&quot;&quot;,O26/Q26)', 22: '=IF(O26=0,0,Q26/O26)', 27: '=IF(W26=0,0,Y26/W26)', 28: '=IF(Z26=0,&quot;&quot;,X26/Z26)', 33: '=IF(AC26=0,0,AE26/AC26)', 42: '=IF(O26=0,0,AO26/O26)', 43: '=IF(N26&lt;Rules!$B$10,&quot;Under 20 clicks: too early&quot;,IF(P26=0,&quot;20+ clicks, 0 orders: negate / pause&quot;,IF(N26&lt;Rules!$B$11,&quot;Under 100 clicks: watch&quot;,IF(S26&gt;=Rules!$B$12,&quot;4%+: keep&quot;,IF(S26&gt;=Rules!$B$13,&quot;2% to 4%: hold at lower bid&quot;,&quot;Under 2%: pause&quot;)))))', 44: '=IF(O26=0,&quot;&quot;,IF(Q26=0,&quot;Spend, no sales&quot;,IF(U26&gt;Rules!$B$33,&quot;Above 3x break-even&quot;,&quot;Within 3x break-even&quot;)))', 45: '=IF(OR(J26=&quot;&quot;,H26&lt;&gt;&quot;ENABLED&quot;),&quot;&quot;,IF(J26&gt;Rules!$B$9,&quot;Above +300% cap&quot;,&quot;OK&quot;))'}"/>
      <family val="0"/>
      <charset val="1"/>
    </font>
    <font>
      <sz val="10"/>
      <name val="{12: '=IF(OR(K27=&quot;&quot;,J27=&quot;&quot;),&quot;&quot;,K27*(1+J27))', 18: '=IF(M27=0,0,N27/M27)', 19: '=IF(N27=0,0,P27/N27)', 20: '=IF(N27=0,0,O27/N27)', 21: '=IF(Q27=0,&quot;&quot;,O27/Q27)', 22: '=IF(O27=0,0,Q27/O27)', 27: '=IF(W27=0,0,Y27/W27)', 28: '=IF(Z27=0,&quot;&quot;,X27/Z27)', 33: '=IF(AC27=0,0,AE27/AC27)', 42: '=IF(O27=0,0,AO27/O27)', 43: '=IF(N27&lt;Rules!$B$10,&quot;Under 20 clicks: too early&quot;,IF(P27=0,&quot;20+ clicks, 0 orders: negate / pause&quot;,IF(N27&lt;Rules!$B$11,&quot;Under 100 clicks: watch&quot;,IF(S27&gt;=Rules!$B$12,&quot;4%+: keep&quot;,IF(S27&gt;=Rules!$B$13,&quot;2% to 4%: hold at lower bid&quot;,&quot;Under 2%: pause&quot;)))))', 44: '=IF(O27=0,&quot;&quot;,IF(Q27=0,&quot;Spend, no sales&quot;,IF(U27&gt;Rules!$B$33,&quot;Above 3x break-even&quot;,&quot;Within 3x break-even&quot;)))', 45: '=IF(OR(J27=&quot;&quot;,H27&lt;&gt;&quot;ENABLED&quot;),&quot;&quot;,IF(J27&gt;Rules!$B$9,&quot;Above +300% cap&quot;,&quot;OK&quot;))'}"/>
      <family val="0"/>
      <charset val="1"/>
    </font>
    <font>
      <sz val="10"/>
      <name val="{12: '=IF(OR(K28=&quot;&quot;,J28=&quot;&quot;),&quot;&quot;,K28*(1+J28))', 18: '=IF(M28=0,0,N28/M28)', 19: '=IF(N28=0,0,P28/N28)', 20: '=IF(N28=0,0,O28/N28)', 21: '=IF(Q28=0,&quot;&quot;,O28/Q28)', 22: '=IF(O28=0,0,Q28/O28)', 27: '=IF(W28=0,0,Y28/W28)', 28: '=IF(Z28=0,&quot;&quot;,X28/Z28)', 33: '=IF(AC28=0,0,AE28/AC28)', 42: '=IF(O28=0,0,AO28/O28)', 43: '=IF(N28&lt;Rules!$B$10,&quot;Under 20 clicks: too early&quot;,IF(P28=0,&quot;20+ clicks, 0 orders: negate / pause&quot;,IF(N28&lt;Rules!$B$11,&quot;Under 100 clicks: watch&quot;,IF(S28&gt;=Rules!$B$12,&quot;4%+: keep&quot;,IF(S28&gt;=Rules!$B$13,&quot;2% to 4%: hold at lower bid&quot;,&quot;Under 2%: pause&quot;)))))', 44: '=IF(O28=0,&quot;&quot;,IF(Q28=0,&quot;Spend, no sales&quot;,IF(U28&gt;Rules!$B$33,&quot;Above 3x break-even&quot;,&quot;Within 3x break-even&quot;)))', 45: '=IF(OR(J28=&quot;&quot;,H28&lt;&gt;&quot;ENABLED&quot;),&quot;&quot;,IF(J28&gt;Rules!$B$9,&quot;Above +300% cap&quot;,&quot;OK&quot;))'}"/>
      <family val="0"/>
      <charset val="1"/>
    </font>
    <font>
      <sz val="10"/>
      <name val="{12: '=IF(OR(K29=&quot;&quot;,J29=&quot;&quot;),&quot;&quot;,K29*(1+J29))', 18: '=IF(M29=0,0,N29/M29)', 19: '=IF(N29=0,0,P29/N29)', 20: '=IF(N29=0,0,O29/N29)', 21: '=IF(Q29=0,&quot;&quot;,O29/Q29)', 22: '=IF(O29=0,0,Q29/O29)', 27: '=IF(W29=0,0,Y29/W29)', 28: '=IF(Z29=0,&quot;&quot;,X29/Z29)', 33: '=IF(AC29=0,0,AE29/AC29)', 42: '=IF(O29=0,0,AO29/O29)', 43: '=IF(N29&lt;Rules!$B$10,&quot;Under 20 clicks: too early&quot;,IF(P29=0,&quot;20+ clicks, 0 orders: negate / pause&quot;,IF(N29&lt;Rules!$B$11,&quot;Under 100 clicks: watch&quot;,IF(S29&gt;=Rules!$B$12,&quot;4%+: keep&quot;,IF(S29&gt;=Rules!$B$13,&quot;2% to 4%: hold at lower bid&quot;,&quot;Under 2%: pause&quot;)))))', 44: '=IF(O29=0,&quot;&quot;,IF(Q29=0,&quot;Spend, no sales&quot;,IF(U29&gt;Rules!$B$33,&quot;Above 3x break-even&quot;,&quot;Within 3x break-even&quot;)))', 45: '=IF(OR(J29=&quot;&quot;,H29&lt;&gt;&quot;ENABLED&quot;),&quot;&quot;,IF(J29&gt;Rules!$B$9,&quot;Above +300% cap&quot;,&quot;OK&quot;))'}"/>
      <family val="0"/>
      <charset val="1"/>
    </font>
    <font>
      <sz val="10"/>
      <name val="{12: '=IF(OR(K30=&quot;&quot;,J30=&quot;&quot;),&quot;&quot;,K30*(1+J30))', 18: '=IF(M30=0,0,N30/M30)', 19: '=IF(N30=0,0,P30/N30)', 20: '=IF(N30=0,0,O30/N30)', 21: '=IF(Q30=0,&quot;&quot;,O30/Q30)', 22: '=IF(O30=0,0,Q30/O30)', 27: '=IF(W30=0,0,Y30/W30)', 28: '=IF(Z30=0,&quot;&quot;,X30/Z30)', 33: '=IF(AC30=0,0,AE30/AC30)', 42: '=IF(O30=0,0,AO30/O30)', 43: '=IF(N30&lt;Rules!$B$10,&quot;Under 20 clicks: too early&quot;,IF(P30=0,&quot;20+ clicks, 0 orders: negate / pause&quot;,IF(N30&lt;Rules!$B$11,&quot;Under 100 clicks: watch&quot;,IF(S30&gt;=Rules!$B$12,&quot;4%+: keep&quot;,IF(S30&gt;=Rules!$B$13,&quot;2% to 4%: hold at lower bid&quot;,&quot;Under 2%: pause&quot;)))))', 44: '=IF(O30=0,&quot;&quot;,IF(Q30=0,&quot;Spend, no sales&quot;,IF(U30&gt;Rules!$B$33,&quot;Above 3x break-even&quot;,&quot;Within 3x break-even&quot;)))', 45: '=IF(OR(J30=&quot;&quot;,H30&lt;&gt;&quot;ENABLED&quot;),&quot;&quot;,IF(J30&gt;Rules!$B$9,&quot;Above +300% cap&quot;,&quot;OK&quot;))'}"/>
      <family val="0"/>
      <charset val="1"/>
    </font>
    <font>
      <sz val="10"/>
      <name val="{12: '=IF(OR(K31=&quot;&quot;,J31=&quot;&quot;),&quot;&quot;,K31*(1+J31))', 18: '=IF(M31=0,0,N31/M31)', 19: '=IF(N31=0,0,P31/N31)', 20: '=IF(N31=0,0,O31/N31)', 21: '=IF(Q31=0,&quot;&quot;,O31/Q31)', 22: '=IF(O31=0,0,Q31/O31)', 27: '=IF(W31=0,0,Y31/W31)', 28: '=IF(Z31=0,&quot;&quot;,X31/Z31)', 33: '=IF(AC31=0,0,AE31/AC31)', 42: '=IF(O31=0,0,AO31/O31)', 43: '=IF(N31&lt;Rules!$B$10,&quot;Under 20 clicks: too early&quot;,IF(P31=0,&quot;20+ clicks, 0 orders: negate / pause&quot;,IF(N31&lt;Rules!$B$11,&quot;Under 100 clicks: watch&quot;,IF(S31&gt;=Rules!$B$12,&quot;4%+: keep&quot;,IF(S31&gt;=Rules!$B$13,&quot;2% to 4%: hold at lower bid&quot;,&quot;Under 2%: pause&quot;)))))', 44: '=IF(O31=0,&quot;&quot;,IF(Q31=0,&quot;Spend, no sales&quot;,IF(U31&gt;Rules!$B$33,&quot;Above 3x break-even&quot;,&quot;Within 3x break-even&quot;)))', 45: '=IF(OR(J31=&quot;&quot;,H31&lt;&gt;&quot;ENABLED&quot;),&quot;&quot;,IF(J31&gt;Rules!$B$9,&quot;Above +300% cap&quot;,&quot;OK&quot;))'}"/>
      <family val="0"/>
      <charset val="1"/>
    </font>
    <font>
      <sz val="10"/>
      <name val="{12: '=IF(OR(K32=&quot;&quot;,J32=&quot;&quot;),&quot;&quot;,K32*(1+J32))', 18: '=IF(M32=0,0,N32/M32)', 19: '=IF(N32=0,0,P32/N32)', 20: '=IF(N32=0,0,O32/N32)', 21: '=IF(Q32=0,&quot;&quot;,O32/Q32)', 22: '=IF(O32=0,0,Q32/O32)', 27: '=IF(W32=0,0,Y32/W32)', 28: '=IF(Z32=0,&quot;&quot;,X32/Z32)', 33: '=IF(AC32=0,0,AE32/AC32)', 42: '=IF(O32=0,0,AO32/O32)', 43: '=IF(N32&lt;Rules!$B$10,&quot;Under 20 clicks: too early&quot;,IF(P32=0,&quot;20+ clicks, 0 orders: negate / pause&quot;,IF(N32&lt;Rules!$B$11,&quot;Under 100 clicks: watch&quot;,IF(S32&gt;=Rules!$B$12,&quot;4%+: keep&quot;,IF(S32&gt;=Rules!$B$13,&quot;2% to 4%: hold at lower bid&quot;,&quot;Under 2%: pause&quot;)))))', 44: '=IF(O32=0,&quot;&quot;,IF(Q32=0,&quot;Spend, no sales&quot;,IF(U32&gt;Rules!$B$33,&quot;Above 3x break-even&quot;,&quot;Within 3x break-even&quot;)))', 45: '=IF(OR(J32=&quot;&quot;,H32&lt;&gt;&quot;ENABLED&quot;),&quot;&quot;,IF(J32&gt;Rules!$B$9,&quot;Above +300% cap&quot;,&quot;OK&quot;))'}"/>
      <family val="0"/>
      <charset val="1"/>
    </font>
    <font>
      <sz val="10"/>
      <name val="{12: '=IF(OR(K33=&quot;&quot;,J33=&quot;&quot;),&quot;&quot;,K33*(1+J33))', 18: '=IF(M33=0,0,N33/M33)', 19: '=IF(N33=0,0,P33/N33)', 20: '=IF(N33=0,0,O33/N33)', 21: '=IF(Q33=0,&quot;&quot;,O33/Q33)', 22: '=IF(O33=0,0,Q33/O33)', 27: '=IF(W33=0,0,Y33/W33)', 28: '=IF(Z33=0,&quot;&quot;,X33/Z33)', 33: '=IF(AC33=0,0,AE33/AC33)', 42: '=IF(O33=0,0,AO33/O33)', 43: '=IF(N33&lt;Rules!$B$10,&quot;Under 20 clicks: too early&quot;,IF(P33=0,&quot;20+ clicks, 0 orders: negate / pause&quot;,IF(N33&lt;Rules!$B$11,&quot;Under 100 clicks: watch&quot;,IF(S33&gt;=Rules!$B$12,&quot;4%+: keep&quot;,IF(S33&gt;=Rules!$B$13,&quot;2% to 4%: hold at lower bid&quot;,&quot;Under 2%: pause&quot;)))))', 44: '=IF(O33=0,&quot;&quot;,IF(Q33=0,&quot;Spend, no sales&quot;,IF(U33&gt;Rules!$B$33,&quot;Above 3x break-even&quot;,&quot;Within 3x break-even&quot;)))', 45: '=IF(OR(J33=&quot;&quot;,H33&lt;&gt;&quot;ENABLED&quot;),&quot;&quot;,IF(J33&gt;Rules!$B$9,&quot;Above +300% cap&quot;,&quot;OK&quot;))'}"/>
      <family val="0"/>
      <charset val="1"/>
    </font>
    <font>
      <sz val="10"/>
      <name val="{12: '=IF(OR(K34=&quot;&quot;,J34=&quot;&quot;),&quot;&quot;,K34*(1+J34))', 18: '=IF(M34=0,0,N34/M34)', 19: '=IF(N34=0,0,P34/N34)', 20: '=IF(N34=0,0,O34/N34)', 21: '=IF(Q34=0,&quot;&quot;,O34/Q34)', 22: '=IF(O34=0,0,Q34/O34)', 27: '=IF(W34=0,0,Y34/W34)', 28: '=IF(Z34=0,&quot;&quot;,X34/Z34)', 33: '=IF(AC34=0,0,AE34/AC34)', 42: '=IF(O34=0,0,AO34/O34)', 43: '=IF(N34&lt;Rules!$B$10,&quot;Under 20 clicks: too early&quot;,IF(P34=0,&quot;20+ clicks, 0 orders: negate / pause&quot;,IF(N34&lt;Rules!$B$11,&quot;Under 100 clicks: watch&quot;,IF(S34&gt;=Rules!$B$12,&quot;4%+: keep&quot;,IF(S34&gt;=Rules!$B$13,&quot;2% to 4%: hold at lower bid&quot;,&quot;Under 2%: pause&quot;)))))', 44: '=IF(O34=0,&quot;&quot;,IF(Q34=0,&quot;Spend, no sales&quot;,IF(U34&gt;Rules!$B$33,&quot;Above 3x break-even&quot;,&quot;Within 3x break-even&quot;)))', 45: '=IF(OR(J34=&quot;&quot;,H34&lt;&gt;&quot;ENABLED&quot;),&quot;&quot;,IF(J34&gt;Rules!$B$9,&quot;Above +300% cap&quot;,&quot;OK&quot;))'}"/>
      <family val="0"/>
      <charset val="1"/>
    </font>
    <font>
      <sz val="10"/>
      <name val="{12: '=IF(OR(K35=&quot;&quot;,J35=&quot;&quot;),&quot;&quot;,K35*(1+J35))', 18: '=IF(M35=0,0,N35/M35)', 19: '=IF(N35=0,0,P35/N35)', 20: '=IF(N35=0,0,O35/N35)', 21: '=IF(Q35=0,&quot;&quot;,O35/Q35)', 22: '=IF(O35=0,0,Q35/O35)', 27: '=IF(W35=0,0,Y35/W35)', 28: '=IF(Z35=0,&quot;&quot;,X35/Z35)', 33: '=IF(AC35=0,0,AE35/AC35)', 42: '=IF(O35=0,0,AO35/O35)', 43: '=IF(N35&lt;Rules!$B$10,&quot;Under 20 clicks: too early&quot;,IF(P35=0,&quot;20+ clicks, 0 orders: negate / pause&quot;,IF(N35&lt;Rules!$B$11,&quot;Under 100 clicks: watch&quot;,IF(S35&gt;=Rules!$B$12,&quot;4%+: keep&quot;,IF(S35&gt;=Rules!$B$13,&quot;2% to 4%: hold at lower bid&quot;,&quot;Under 2%: pause&quot;)))))', 44: '=IF(O35=0,&quot;&quot;,IF(Q35=0,&quot;Spend, no sales&quot;,IF(U35&gt;Rules!$B$33,&quot;Above 3x break-even&quot;,&quot;Within 3x break-even&quot;)))', 45: '=IF(OR(J35=&quot;&quot;,H35&lt;&gt;&quot;ENABLED&quot;),&quot;&quot;,IF(J35&gt;Rules!$B$9,&quot;Above +300% cap&quot;,&quot;OK&quot;))'}"/>
      <family val="0"/>
      <charset val="1"/>
    </font>
    <font>
      <sz val="10"/>
      <name val="{12: '=IF(OR(K36=&quot;&quot;,J36=&quot;&quot;),&quot;&quot;,K36*(1+J36))', 18: '=IF(M36=0,0,N36/M36)', 19: '=IF(N36=0,0,P36/N36)', 20: '=IF(N36=0,0,O36/N36)', 21: '=IF(Q36=0,&quot;&quot;,O36/Q36)', 22: '=IF(O36=0,0,Q36/O36)', 27: '=IF(W36=0,0,Y36/W36)', 28: '=IF(Z36=0,&quot;&quot;,X36/Z36)', 33: '=IF(AC36=0,0,AE36/AC36)', 42: '=IF(O36=0,0,AO36/O36)', 43: '=IF(N36&lt;Rules!$B$10,&quot;Under 20 clicks: too early&quot;,IF(P36=0,&quot;20+ clicks, 0 orders: negate / pause&quot;,IF(N36&lt;Rules!$B$11,&quot;Under 100 clicks: watch&quot;,IF(S36&gt;=Rules!$B$12,&quot;4%+: keep&quot;,IF(S36&gt;=Rules!$B$13,&quot;2% to 4%: hold at lower bid&quot;,&quot;Under 2%: pause&quot;)))))', 44: '=IF(O36=0,&quot;&quot;,IF(Q36=0,&quot;Spend, no sales&quot;,IF(U36&gt;Rules!$B$33,&quot;Above 3x break-even&quot;,&quot;Within 3x break-even&quot;)))', 45: '=IF(OR(J36=&quot;&quot;,H36&lt;&gt;&quot;ENABLED&quot;),&quot;&quot;,IF(J36&gt;Rules!$B$9,&quot;Above +300% cap&quot;,&quot;OK&quot;))'}"/>
      <family val="0"/>
      <charset val="1"/>
    </font>
    <font>
      <sz val="10"/>
      <name val="{12: '=IF(OR(K37=&quot;&quot;,J37=&quot;&quot;),&quot;&quot;,K37*(1+J37))', 18: '=IF(M37=0,0,N37/M37)', 19: '=IF(N37=0,0,P37/N37)', 20: '=IF(N37=0,0,O37/N37)', 21: '=IF(Q37=0,&quot;&quot;,O37/Q37)', 22: '=IF(O37=0,0,Q37/O37)', 27: '=IF(W37=0,0,Y37/W37)', 28: '=IF(Z37=0,&quot;&quot;,X37/Z37)', 33: '=IF(AC37=0,0,AE37/AC37)', 42: '=IF(O37=0,0,AO37/O37)', 43: '=IF(N37&lt;Rules!$B$10,&quot;Under 20 clicks: too early&quot;,IF(P37=0,&quot;20+ clicks, 0 orders: negate / pause&quot;,IF(N37&lt;Rules!$B$11,&quot;Under 100 clicks: watch&quot;,IF(S37&gt;=Rules!$B$12,&quot;4%+: keep&quot;,IF(S37&gt;=Rules!$B$13,&quot;2% to 4%: hold at lower bid&quot;,&quot;Under 2%: pause&quot;)))))', 44: '=IF(O37=0,&quot;&quot;,IF(Q37=0,&quot;Spend, no sales&quot;,IF(U37&gt;Rules!$B$33,&quot;Above 3x break-even&quot;,&quot;Within 3x break-even&quot;)))', 45: '=IF(OR(J37=&quot;&quot;,H37&lt;&gt;&quot;ENABLED&quot;),&quot;&quot;,IF(J37&gt;Rules!$B$9,&quot;Above +300% cap&quot;,&quot;OK&quot;))'}"/>
      <family val="0"/>
      <charset val="1"/>
    </font>
    <font>
      <sz val="10"/>
      <name val="{12: '=IF(OR(K38=&quot;&quot;,J38=&quot;&quot;),&quot;&quot;,K38*(1+J38))', 18: '=IF(M38=0,0,N38/M38)', 19: '=IF(N38=0,0,P38/N38)', 20: '=IF(N38=0,0,O38/N38)', 21: '=IF(Q38=0,&quot;&quot;,O38/Q38)', 22: '=IF(O38=0,0,Q38/O38)', 27: '=IF(W38=0,0,Y38/W38)', 28: '=IF(Z38=0,&quot;&quot;,X38/Z38)', 33: '=IF(AC38=0,0,AE38/AC38)', 42: '=IF(O38=0,0,AO38/O38)', 43: '=IF(N38&lt;Rules!$B$10,&quot;Under 20 clicks: too early&quot;,IF(P38=0,&quot;20+ clicks, 0 orders: negate / pause&quot;,IF(N38&lt;Rules!$B$11,&quot;Under 100 clicks: watch&quot;,IF(S38&gt;=Rules!$B$12,&quot;4%+: keep&quot;,IF(S38&gt;=Rules!$B$13,&quot;2% to 4%: hold at lower bid&quot;,&quot;Under 2%: pause&quot;)))))', 44: '=IF(O38=0,&quot;&quot;,IF(Q38=0,&quot;Spend, no sales&quot;,IF(U38&gt;Rules!$B$33,&quot;Above 3x break-even&quot;,&quot;Within 3x break-even&quot;)))', 45: '=IF(OR(J38=&quot;&quot;,H38&lt;&gt;&quot;ENABLED&quot;),&quot;&quot;,IF(J38&gt;Rules!$B$9,&quot;Above +300% cap&quot;,&quot;OK&quot;))'}"/>
      <family val="0"/>
      <charset val="1"/>
    </font>
    <font>
      <sz val="10"/>
      <name val="{12: '=IF(OR(K39=&quot;&quot;,J39=&quot;&quot;),&quot;&quot;,K39*(1+J39))', 18: '=IF(M39=0,0,N39/M39)', 19: '=IF(N39=0,0,P39/N39)', 20: '=IF(N39=0,0,O39/N39)', 21: '=IF(Q39=0,&quot;&quot;,O39/Q39)', 22: '=IF(O39=0,0,Q39/O39)', 27: '=IF(W39=0,0,Y39/W39)', 28: '=IF(Z39=0,&quot;&quot;,X39/Z39)', 33: '=IF(AC39=0,0,AE39/AC39)', 42: '=IF(O39=0,0,AO39/O39)', 43: '=IF(N39&lt;Rules!$B$10,&quot;Under 20 clicks: too early&quot;,IF(P39=0,&quot;20+ clicks, 0 orders: negate / pause&quot;,IF(N39&lt;Rules!$B$11,&quot;Under 100 clicks: watch&quot;,IF(S39&gt;=Rules!$B$12,&quot;4%+: keep&quot;,IF(S39&gt;=Rules!$B$13,&quot;2% to 4%: hold at lower bid&quot;,&quot;Under 2%: pause&quot;)))))', 44: '=IF(O39=0,&quot;&quot;,IF(Q39=0,&quot;Spend, no sales&quot;,IF(U39&gt;Rules!$B$33,&quot;Above 3x break-even&quot;,&quot;Within 3x break-even&quot;)))', 45: '=IF(OR(J39=&quot;&quot;,H39&lt;&gt;&quot;ENABLED&quot;),&quot;&quot;,IF(J39&gt;Rules!$B$9,&quot;Above +300% cap&quot;,&quot;OK&quot;))'}"/>
      <family val="0"/>
      <charset val="1"/>
    </font>
    <font>
      <sz val="10"/>
      <name val="{12: '=IF(OR(K40=&quot;&quot;,J40=&quot;&quot;),&quot;&quot;,K40*(1+J40))', 18: '=IF(M40=0,0,N40/M40)', 19: '=IF(N40=0,0,P40/N40)', 20: '=IF(N40=0,0,O40/N40)', 21: '=IF(Q40=0,&quot;&quot;,O40/Q40)', 22: '=IF(O40=0,0,Q40/O40)', 27: '=IF(W40=0,0,Y40/W40)', 28: '=IF(Z40=0,&quot;&quot;,X40/Z40)', 33: '=IF(AC40=0,0,AE40/AC40)', 42: '=IF(O40=0,0,AO40/O40)', 43: '=IF(N40&lt;Rules!$B$10,&quot;Under 20 clicks: too early&quot;,IF(P40=0,&quot;20+ clicks, 0 orders: negate / pause&quot;,IF(N40&lt;Rules!$B$11,&quot;Under 100 clicks: watch&quot;,IF(S40&gt;=Rules!$B$12,&quot;4%+: keep&quot;,IF(S40&gt;=Rules!$B$13,&quot;2% to 4%: hold at lower bid&quot;,&quot;Under 2%: pause&quot;)))))', 44: '=IF(O40=0,&quot;&quot;,IF(Q40=0,&quot;Spend, no sales&quot;,IF(U40&gt;Rules!$B$33,&quot;Above 3x break-even&quot;,&quot;Within 3x break-even&quot;)))', 45: '=IF(OR(J40=&quot;&quot;,H40&lt;&gt;&quot;ENABLED&quot;),&quot;&quot;,IF(J40&gt;Rules!$B$9,&quot;Above +300% cap&quot;,&quot;OK&quot;))'}"/>
      <family val="0"/>
      <charset val="1"/>
    </font>
    <font>
      <sz val="10"/>
      <name val="{12: '=IF(OR(K41=&quot;&quot;,J41=&quot;&quot;),&quot;&quot;,K41*(1+J41))', 18: '=IF(M41=0,0,N41/M41)', 19: '=IF(N41=0,0,P41/N41)', 20: '=IF(N41=0,0,O41/N41)', 21: '=IF(Q41=0,&quot;&quot;,O41/Q41)', 22: '=IF(O41=0,0,Q41/O41)', 27: '=IF(W41=0,0,Y41/W41)', 28: '=IF(Z41=0,&quot;&quot;,X41/Z41)', 33: '=IF(AC41=0,0,AE41/AC41)', 42: '=IF(O41=0,0,AO41/O41)', 43: '=IF(N41&lt;Rules!$B$10,&quot;Under 20 clicks: too early&quot;,IF(P41=0,&quot;20+ clicks, 0 orders: negate / pause&quot;,IF(N41&lt;Rules!$B$11,&quot;Under 100 clicks: watch&quot;,IF(S41&gt;=Rules!$B$12,&quot;4%+: keep&quot;,IF(S41&gt;=Rules!$B$13,&quot;2% to 4%: hold at lower bid&quot;,&quot;Under 2%: pause&quot;)))))', 44: '=IF(O41=0,&quot;&quot;,IF(Q41=0,&quot;Spend, no sales&quot;,IF(U41&gt;Rules!$B$33,&quot;Above 3x break-even&quot;,&quot;Within 3x break-even&quot;)))', 45: '=IF(OR(J41=&quot;&quot;,H41&lt;&gt;&quot;ENABLED&quot;),&quot;&quot;,IF(J41&gt;Rules!$B$9,&quot;Above +300% cap&quot;,&quot;OK&quot;))'}"/>
      <family val="0"/>
      <charset val="1"/>
    </font>
    <font>
      <sz val="10"/>
      <name val="{12: '=IF(OR(K42=&quot;&quot;,J42=&quot;&quot;),&quot;&quot;,K42*(1+J42))', 18: '=IF(M42=0,0,N42/M42)', 19: '=IF(N42=0,0,P42/N42)', 20: '=IF(N42=0,0,O42/N42)', 21: '=IF(Q42=0,&quot;&quot;,O42/Q42)', 22: '=IF(O42=0,0,Q42/O42)', 27: '=IF(W42=0,0,Y42/W42)', 28: '=IF(Z42=0,&quot;&quot;,X42/Z42)', 33: '=IF(AC42=0,0,AE42/AC42)', 42: '=IF(O42=0,0,AO42/O42)', 43: '=IF(N42&lt;Rules!$B$10,&quot;Under 20 clicks: too early&quot;,IF(P42=0,&quot;20+ clicks, 0 orders: negate / pause&quot;,IF(N42&lt;Rules!$B$11,&quot;Under 100 clicks: watch&quot;,IF(S42&gt;=Rules!$B$12,&quot;4%+: keep&quot;,IF(S42&gt;=Rules!$B$13,&quot;2% to 4%: hold at lower bid&quot;,&quot;Under 2%: pause&quot;)))))', 44: '=IF(O42=0,&quot;&quot;,IF(Q42=0,&quot;Spend, no sales&quot;,IF(U42&gt;Rules!$B$33,&quot;Above 3x break-even&quot;,&quot;Within 3x break-even&quot;)))', 45: '=IF(OR(J42=&quot;&quot;,H42&lt;&gt;&quot;ENABLED&quot;),&quot;&quot;,IF(J42&gt;Rules!$B$9,&quot;Above +300% cap&quot;,&quot;OK&quot;))'}"/>
      <family val="0"/>
      <charset val="1"/>
    </font>
    <font>
      <sz val="10"/>
      <name val="{12: '=IF(OR(K43=&quot;&quot;,J43=&quot;&quot;),&quot;&quot;,K43*(1+J43))', 18: '=IF(M43=0,0,N43/M43)', 19: '=IF(N43=0,0,P43/N43)', 20: '=IF(N43=0,0,O43/N43)', 21: '=IF(Q43=0,&quot;&quot;,O43/Q43)', 22: '=IF(O43=0,0,Q43/O43)', 27: '=IF(W43=0,0,Y43/W43)', 28: '=IF(Z43=0,&quot;&quot;,X43/Z43)', 33: '=IF(AC43=0,0,AE43/AC43)', 42: '=IF(O43=0,0,AO43/O43)', 43: '=IF(N43&lt;Rules!$B$10,&quot;Under 20 clicks: too early&quot;,IF(P43=0,&quot;20+ clicks, 0 orders: negate / pause&quot;,IF(N43&lt;Rules!$B$11,&quot;Under 100 clicks: watch&quot;,IF(S43&gt;=Rules!$B$12,&quot;4%+: keep&quot;,IF(S43&gt;=Rules!$B$13,&quot;2% to 4%: hold at lower bid&quot;,&quot;Under 2%: pause&quot;)))))', 44: '=IF(O43=0,&quot;&quot;,IF(Q43=0,&quot;Spend, no sales&quot;,IF(U43&gt;Rules!$B$33,&quot;Above 3x break-even&quot;,&quot;Within 3x break-even&quot;)))', 45: '=IF(OR(J43=&quot;&quot;,H43&lt;&gt;&quot;ENABLED&quot;),&quot;&quot;,IF(J43&gt;Rules!$B$9,&quot;Above +300% cap&quot;,&quot;OK&quot;))'}"/>
      <family val="0"/>
      <charset val="1"/>
    </font>
    <font>
      <sz val="10"/>
      <name val="{12: '=IF(OR(K44=&quot;&quot;,J44=&quot;&quot;),&quot;&quot;,K44*(1+J44))', 18: '=IF(M44=0,0,N44/M44)', 19: '=IF(N44=0,0,P44/N44)', 20: '=IF(N44=0,0,O44/N44)', 21: '=IF(Q44=0,&quot;&quot;,O44/Q44)', 22: '=IF(O44=0,0,Q44/O44)', 27: '=IF(W44=0,0,Y44/W44)', 28: '=IF(Z44=0,&quot;&quot;,X44/Z44)', 33: '=IF(AC44=0,0,AE44/AC44)', 42: '=IF(O44=0,0,AO44/O44)', 43: '=IF(N44&lt;Rules!$B$10,&quot;Under 20 clicks: too early&quot;,IF(P44=0,&quot;20+ clicks, 0 orders: negate / pause&quot;,IF(N44&lt;Rules!$B$11,&quot;Under 100 clicks: watch&quot;,IF(S44&gt;=Rules!$B$12,&quot;4%+: keep&quot;,IF(S44&gt;=Rules!$B$13,&quot;2% to 4%: hold at lower bid&quot;,&quot;Under 2%: pause&quot;)))))', 44: '=IF(O44=0,&quot;&quot;,IF(Q44=0,&quot;Spend, no sales&quot;,IF(U44&gt;Rules!$B$33,&quot;Above 3x break-even&quot;,&quot;Within 3x break-even&quot;)))', 45: '=IF(OR(J44=&quot;&quot;,H44&lt;&gt;&quot;ENABLED&quot;),&quot;&quot;,IF(J44&gt;Rules!$B$9,&quot;Above +300% cap&quot;,&quot;OK&quot;))'}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9E1F2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595959"/>
      <rgbColor rgb="FFA6A6A6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H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8" min="7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72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7" customFormat="false" ht="15" hidden="false" customHeight="false" outlineLevel="0" collapsed="false">
      <c r="A7" s="3" t="s">
        <v>4</v>
      </c>
    </row>
    <row r="8" customFormat="false" ht="21.75" hidden="false" customHeight="tru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</row>
    <row r="9" customFormat="false" ht="15" hidden="false" customHeight="false" outlineLevel="0" collapsed="false">
      <c r="A9" s="6" t="s">
        <v>10</v>
      </c>
      <c r="B9" s="7" t="n">
        <f aca="false">Campaigns!O46</f>
        <v>1648.02</v>
      </c>
      <c r="C9" s="7" t="n">
        <f aca="false">Campaigns!X46</f>
        <v>487.49</v>
      </c>
      <c r="D9" s="7" t="n">
        <f aca="false">Campaigns!AD46</f>
        <v>236.54</v>
      </c>
      <c r="E9" s="8"/>
    </row>
    <row r="10" customFormat="false" ht="15" hidden="false" customHeight="false" outlineLevel="0" collapsed="false">
      <c r="A10" s="6" t="s">
        <v>11</v>
      </c>
      <c r="B10" s="9" t="n">
        <f aca="false">Campaigns!N46</f>
        <v>3093</v>
      </c>
      <c r="C10" s="9" t="n">
        <f aca="false">Campaigns!W46</f>
        <v>486</v>
      </c>
      <c r="D10" s="9" t="n">
        <f aca="false">Campaigns!AC46</f>
        <v>215</v>
      </c>
      <c r="E10" s="8"/>
    </row>
    <row r="11" customFormat="false" ht="15" hidden="false" customHeight="false" outlineLevel="0" collapsed="false">
      <c r="A11" s="6" t="s">
        <v>12</v>
      </c>
      <c r="B11" s="9" t="n">
        <f aca="false">Campaigns!P46</f>
        <v>34</v>
      </c>
      <c r="C11" s="9" t="n">
        <f aca="false">Campaigns!Y46</f>
        <v>4</v>
      </c>
      <c r="D11" s="9" t="n">
        <f aca="false">Campaigns!AE46</f>
        <v>2</v>
      </c>
      <c r="E11" s="8" t="s">
        <v>13</v>
      </c>
    </row>
    <row r="12" customFormat="false" ht="15" hidden="false" customHeight="false" outlineLevel="0" collapsed="false">
      <c r="A12" s="6" t="s">
        <v>14</v>
      </c>
      <c r="B12" s="7" t="n">
        <f aca="false">Campaigns!Q46</f>
        <v>1072.65</v>
      </c>
      <c r="C12" s="7" t="n">
        <f aca="false">Campaigns!Z46</f>
        <v>131.96</v>
      </c>
      <c r="D12" s="7" t="n">
        <f aca="false">Campaigns!AF46</f>
        <v>69.98</v>
      </c>
      <c r="E12" s="8"/>
    </row>
    <row r="13" customFormat="false" ht="15" hidden="false" customHeight="false" outlineLevel="0" collapsed="false">
      <c r="A13" s="6" t="s">
        <v>15</v>
      </c>
      <c r="B13" s="7" t="n">
        <f aca="false">IF(B10=0,"",B9/B10)</f>
        <v>0.53282250242483</v>
      </c>
      <c r="C13" s="7" t="n">
        <f aca="false">IF(C10=0,"",C9/C10)</f>
        <v>1.0030658436214</v>
      </c>
      <c r="D13" s="7" t="n">
        <f aca="false">IF(D10=0,"",D9/D10)</f>
        <v>1.10018604651163</v>
      </c>
      <c r="E13" s="8" t="s">
        <v>16</v>
      </c>
    </row>
    <row r="14" customFormat="false" ht="15" hidden="false" customHeight="false" outlineLevel="0" collapsed="false">
      <c r="A14" s="6" t="s">
        <v>17</v>
      </c>
      <c r="B14" s="10" t="n">
        <f aca="false">IF(B10=0,"",B11/B10)</f>
        <v>0.0109925638538636</v>
      </c>
      <c r="C14" s="10" t="n">
        <f aca="false">IF(C10=0,"",C11/C10)</f>
        <v>0.00823045267489712</v>
      </c>
      <c r="D14" s="10" t="n">
        <f aca="false">IF(D10=0,"",D11/D10)</f>
        <v>0.00930232558139535</v>
      </c>
      <c r="E14" s="8" t="s">
        <v>18</v>
      </c>
    </row>
    <row r="15" customFormat="false" ht="15" hidden="false" customHeight="false" outlineLevel="0" collapsed="false">
      <c r="A15" s="6" t="s">
        <v>19</v>
      </c>
      <c r="B15" s="10" t="n">
        <f aca="false">IF(B12=0,"",B9/B12)</f>
        <v>1.53640050342609</v>
      </c>
      <c r="C15" s="10" t="n">
        <f aca="false">IF(C12=0,"",C9/C12)</f>
        <v>3.69422552288572</v>
      </c>
      <c r="D15" s="10" t="n">
        <f aca="false">IF(D12=0,"",D9/D12)</f>
        <v>3.38010860245785</v>
      </c>
      <c r="E15" s="8" t="s">
        <v>20</v>
      </c>
    </row>
    <row r="16" customFormat="false" ht="15" hidden="false" customHeight="false" outlineLevel="0" collapsed="false">
      <c r="A16" s="6" t="s">
        <v>21</v>
      </c>
      <c r="B16" s="7" t="n">
        <f aca="false">IF(B11=0,"",B9/B11)</f>
        <v>48.4711764705882</v>
      </c>
      <c r="C16" s="7" t="n">
        <f aca="false">IF(C11=0,"",C9/C11)</f>
        <v>121.8725</v>
      </c>
      <c r="D16" s="7" t="n">
        <f aca="false">IF(D11=0,"",D9/D11)</f>
        <v>118.27</v>
      </c>
      <c r="E16" s="8" t="s">
        <v>22</v>
      </c>
    </row>
    <row r="18" customFormat="false" ht="15" hidden="false" customHeight="false" outlineLevel="0" collapsed="false">
      <c r="A18" s="3" t="s">
        <v>23</v>
      </c>
    </row>
    <row r="19" customFormat="false" ht="21.75" hidden="false" customHeight="true" outlineLevel="0" collapsed="false">
      <c r="A19" s="5" t="s">
        <v>24</v>
      </c>
      <c r="B19" s="5" t="s">
        <v>25</v>
      </c>
      <c r="C19" s="5" t="s">
        <v>9</v>
      </c>
    </row>
    <row r="20" customFormat="false" ht="15" hidden="false" customHeight="false" outlineLevel="0" collapsed="false">
      <c r="A20" s="6" t="s">
        <v>26</v>
      </c>
      <c r="B20" s="7" t="n">
        <f aca="false">'Search Terms'!B141</f>
        <v>733.15</v>
      </c>
      <c r="C20" s="8" t="s">
        <v>27</v>
      </c>
    </row>
    <row r="21" customFormat="false" ht="15" hidden="false" customHeight="false" outlineLevel="0" collapsed="false">
      <c r="A21" s="6" t="s">
        <v>28</v>
      </c>
      <c r="B21" s="10" t="n">
        <f aca="false">'Search Terms'!B142</f>
        <v>0.44612866322656</v>
      </c>
      <c r="C21" s="8"/>
    </row>
    <row r="22" customFormat="false" ht="15" hidden="false" customHeight="false" outlineLevel="0" collapsed="false">
      <c r="A22" s="6" t="s">
        <v>29</v>
      </c>
      <c r="B22" s="7" t="n">
        <f aca="false">SUMIFS(Campaigns!$O$6:$O$45,Campaigns!$P$6:$P$45,0)</f>
        <v>539.09</v>
      </c>
      <c r="C22" s="8" t="s">
        <v>30</v>
      </c>
    </row>
    <row r="23" customFormat="false" ht="15" hidden="false" customHeight="false" outlineLevel="0" collapsed="false">
      <c r="A23" s="6" t="s">
        <v>31</v>
      </c>
      <c r="B23" s="7" t="n">
        <f aca="false">B9-B11*Rules!$B$34</f>
        <v>1515.25</v>
      </c>
      <c r="C23" s="8" t="s">
        <v>32</v>
      </c>
    </row>
    <row r="24" customFormat="false" ht="15" hidden="false" customHeight="false" outlineLevel="0" collapsed="false">
      <c r="A24" s="6" t="s">
        <v>33</v>
      </c>
      <c r="B24" s="7" t="n">
        <f aca="false">'Live Set'!B20</f>
        <v>390.61</v>
      </c>
      <c r="C24" s="8" t="s">
        <v>34</v>
      </c>
    </row>
    <row r="25" customFormat="false" ht="15" hidden="false" customHeight="false" outlineLevel="0" collapsed="false">
      <c r="A25" s="6" t="s">
        <v>35</v>
      </c>
      <c r="B25" s="7" t="n">
        <f aca="false">'Live Set'!B17</f>
        <v>97.5937931034483</v>
      </c>
      <c r="C25" s="8" t="s">
        <v>36</v>
      </c>
    </row>
    <row r="26" customFormat="false" ht="15" hidden="false" customHeight="false" outlineLevel="0" collapsed="false">
      <c r="A26" s="6" t="s">
        <v>37</v>
      </c>
      <c r="B26" s="7" t="n">
        <f aca="false">'Live Set'!B18</f>
        <v>750</v>
      </c>
      <c r="C26" s="8" t="s">
        <v>38</v>
      </c>
    </row>
    <row r="27" customFormat="false" ht="15" hidden="false" customHeight="false" outlineLevel="0" collapsed="false">
      <c r="A27" s="6" t="s">
        <v>39</v>
      </c>
      <c r="B27" s="10" t="n">
        <f aca="false">'Live Set'!B21</f>
        <v>0.799803497295435</v>
      </c>
      <c r="C27" s="8"/>
    </row>
    <row r="29" customFormat="false" ht="15" hidden="false" customHeight="false" outlineLevel="0" collapsed="false">
      <c r="A29" s="3" t="s">
        <v>40</v>
      </c>
    </row>
    <row r="30" customFormat="false" ht="30" hidden="false" customHeight="true" outlineLevel="0" collapsed="false">
      <c r="A30" s="5" t="s">
        <v>41</v>
      </c>
      <c r="B30" s="5" t="s">
        <v>42</v>
      </c>
      <c r="C30" s="5" t="s">
        <v>43</v>
      </c>
      <c r="D30" s="5" t="s">
        <v>44</v>
      </c>
      <c r="E30" s="5" t="s">
        <v>45</v>
      </c>
      <c r="F30" s="5" t="s">
        <v>46</v>
      </c>
    </row>
    <row r="31" customFormat="false" ht="15" hidden="false" customHeight="false" outlineLevel="0" collapsed="false">
      <c r="A31" s="8" t="str">
        <f aca="false">Decisions!A18</f>
        <v>1 RETAIN (generating orders)</v>
      </c>
      <c r="B31" s="9" t="n">
        <f aca="false">Decisions!B18</f>
        <v>2</v>
      </c>
      <c r="C31" s="9" t="n">
        <f aca="false">Decisions!C18</f>
        <v>2</v>
      </c>
      <c r="D31" s="7" t="n">
        <f aca="false">Decisions!D18</f>
        <v>173.26</v>
      </c>
      <c r="E31" s="9" t="n">
        <f aca="false">Decisions!E18</f>
        <v>6</v>
      </c>
      <c r="F31" s="7" t="n">
        <f aca="false">Decisions!F18</f>
        <v>96.88</v>
      </c>
    </row>
    <row r="32" customFormat="false" ht="15" hidden="false" customHeight="false" outlineLevel="0" collapsed="false">
      <c r="A32" s="8" t="str">
        <f aca="false">Decisions!A19</f>
        <v>2 ADJUST (bid / placement)</v>
      </c>
      <c r="B32" s="9" t="n">
        <f aca="false">Decisions!B19</f>
        <v>1</v>
      </c>
      <c r="C32" s="9" t="n">
        <f aca="false">Decisions!C19</f>
        <v>1</v>
      </c>
      <c r="D32" s="7" t="n">
        <f aca="false">Decisions!D19</f>
        <v>1.38</v>
      </c>
      <c r="E32" s="9" t="n">
        <f aca="false">Decisions!E19</f>
        <v>0</v>
      </c>
      <c r="F32" s="7" t="n">
        <f aca="false">Decisions!F19</f>
        <v>0</v>
      </c>
    </row>
    <row r="33" customFormat="false" ht="15" hidden="false" customHeight="false" outlineLevel="0" collapsed="false">
      <c r="A33" s="8" t="str">
        <f aca="false">Decisions!A20</f>
        <v>3 RETEST AFTER REBUILD</v>
      </c>
      <c r="B33" s="9" t="n">
        <f aca="false">Decisions!B20</f>
        <v>6</v>
      </c>
      <c r="C33" s="9" t="n">
        <f aca="false">Decisions!C20</f>
        <v>0</v>
      </c>
      <c r="D33" s="7" t="n">
        <f aca="false">Decisions!D20</f>
        <v>480.77</v>
      </c>
      <c r="E33" s="9" t="n">
        <f aca="false">Decisions!E20</f>
        <v>13</v>
      </c>
      <c r="F33" s="7" t="n">
        <f aca="false">Decisions!F20</f>
        <v>51.91</v>
      </c>
    </row>
    <row r="34" customFormat="false" ht="15" hidden="false" customHeight="false" outlineLevel="0" collapsed="false">
      <c r="A34" s="8" t="str">
        <f aca="false">Decisions!A21</f>
        <v>4 RESTRUCTURE IN REBUILD</v>
      </c>
      <c r="B34" s="9" t="n">
        <f aca="false">Decisions!B21</f>
        <v>6</v>
      </c>
      <c r="C34" s="9" t="n">
        <f aca="false">Decisions!C21</f>
        <v>0</v>
      </c>
      <c r="D34" s="7" t="n">
        <f aca="false">Decisions!D21</f>
        <v>461.08</v>
      </c>
      <c r="E34" s="9" t="n">
        <f aca="false">Decisions!E21</f>
        <v>12</v>
      </c>
      <c r="F34" s="7" t="n">
        <f aca="false">Decisions!F21</f>
        <v>150.3</v>
      </c>
    </row>
    <row r="35" customFormat="false" ht="15" hidden="false" customHeight="false" outlineLevel="0" collapsed="false">
      <c r="A35" s="8" t="str">
        <f aca="false">Decisions!A22</f>
        <v>5 PAUSE (wasted spend)</v>
      </c>
      <c r="B35" s="9" t="n">
        <f aca="false">Decisions!B22</f>
        <v>25</v>
      </c>
      <c r="C35" s="9" t="n">
        <f aca="false">Decisions!C22</f>
        <v>0</v>
      </c>
      <c r="D35" s="7" t="n">
        <f aca="false">Decisions!D22</f>
        <v>531.53</v>
      </c>
      <c r="E35" s="9" t="n">
        <f aca="false">Decisions!E22</f>
        <v>3</v>
      </c>
      <c r="F35" s="7" t="n">
        <f aca="false">Decisions!F22</f>
        <v>188.4</v>
      </c>
    </row>
    <row r="37" customFormat="false" ht="15" hidden="false" customHeight="false" outlineLevel="0" collapsed="false">
      <c r="A37" s="3" t="s">
        <v>47</v>
      </c>
    </row>
    <row r="38" customFormat="false" ht="30" hidden="false" customHeight="true" outlineLevel="0" collapsed="false">
      <c r="A38" s="4" t="s">
        <v>48</v>
      </c>
      <c r="B38" s="4"/>
      <c r="C38" s="4"/>
      <c r="D38" s="4"/>
      <c r="E38" s="4"/>
      <c r="F38" s="4"/>
      <c r="G38" s="4"/>
      <c r="H38" s="4"/>
    </row>
    <row r="39" customFormat="false" ht="15" hidden="false" customHeight="true" outlineLevel="0" collapsed="false">
      <c r="A39" s="4" t="s">
        <v>49</v>
      </c>
      <c r="B39" s="4"/>
      <c r="C39" s="4"/>
      <c r="D39" s="4"/>
      <c r="E39" s="4"/>
      <c r="F39" s="4"/>
      <c r="G39" s="4"/>
      <c r="H39" s="4"/>
    </row>
    <row r="40" customFormat="false" ht="30" hidden="false" customHeight="true" outlineLevel="0" collapsed="false">
      <c r="A40" s="4" t="s">
        <v>50</v>
      </c>
      <c r="B40" s="4"/>
      <c r="C40" s="4"/>
      <c r="D40" s="4"/>
      <c r="E40" s="4"/>
      <c r="F40" s="4"/>
      <c r="G40" s="4"/>
      <c r="H40" s="4"/>
    </row>
    <row r="41" customFormat="false" ht="30" hidden="false" customHeight="true" outlineLevel="0" collapsed="false">
      <c r="A41" s="4" t="s">
        <v>51</v>
      </c>
      <c r="B41" s="4"/>
      <c r="C41" s="4"/>
      <c r="D41" s="4"/>
      <c r="E41" s="4"/>
      <c r="F41" s="4"/>
      <c r="G41" s="4"/>
      <c r="H41" s="4"/>
    </row>
    <row r="42" customFormat="false" ht="30" hidden="false" customHeight="true" outlineLevel="0" collapsed="false">
      <c r="A42" s="4" t="s">
        <v>52</v>
      </c>
      <c r="B42" s="4"/>
      <c r="C42" s="4"/>
      <c r="D42" s="4"/>
      <c r="E42" s="4"/>
      <c r="F42" s="4"/>
      <c r="G42" s="4"/>
      <c r="H42" s="4"/>
    </row>
    <row r="43" customFormat="false" ht="30" hidden="false" customHeight="true" outlineLevel="0" collapsed="false">
      <c r="A43" s="4" t="s">
        <v>53</v>
      </c>
      <c r="B43" s="4"/>
      <c r="C43" s="4"/>
      <c r="D43" s="4"/>
      <c r="E43" s="4"/>
      <c r="F43" s="4"/>
      <c r="G43" s="4"/>
      <c r="H43" s="4"/>
    </row>
    <row r="45" customFormat="false" ht="15" hidden="false" customHeight="false" outlineLevel="0" collapsed="false">
      <c r="A45" s="3" t="s">
        <v>54</v>
      </c>
    </row>
    <row r="46" customFormat="false" ht="45" hidden="false" customHeight="true" outlineLevel="0" collapsed="false">
      <c r="A46" s="4" t="s">
        <v>55</v>
      </c>
      <c r="B46" s="4"/>
      <c r="C46" s="4"/>
      <c r="D46" s="4"/>
      <c r="E46" s="4"/>
      <c r="F46" s="4"/>
      <c r="G46" s="4"/>
      <c r="H46" s="4"/>
    </row>
    <row r="47" customFormat="false" ht="15" hidden="false" customHeight="true" outlineLevel="0" collapsed="false">
      <c r="A47" s="4" t="s">
        <v>56</v>
      </c>
      <c r="B47" s="4"/>
      <c r="C47" s="4"/>
      <c r="D47" s="4"/>
      <c r="E47" s="4"/>
      <c r="F47" s="4"/>
      <c r="G47" s="4"/>
      <c r="H47" s="4"/>
    </row>
    <row r="49" customFormat="false" ht="15" hidden="false" customHeight="false" outlineLevel="0" collapsed="false">
      <c r="A49" s="3" t="s">
        <v>57</v>
      </c>
    </row>
    <row r="50" customFormat="false" ht="15" hidden="false" customHeight="true" outlineLevel="0" collapsed="false">
      <c r="A50" s="4" t="s">
        <v>58</v>
      </c>
      <c r="B50" s="4"/>
      <c r="C50" s="4"/>
      <c r="D50" s="4"/>
      <c r="E50" s="4"/>
      <c r="F50" s="4"/>
      <c r="G50" s="4"/>
      <c r="H50" s="4"/>
    </row>
    <row r="51" customFormat="false" ht="30" hidden="false" customHeight="true" outlineLevel="0" collapsed="false">
      <c r="A51" s="4" t="s">
        <v>59</v>
      </c>
      <c r="B51" s="4"/>
      <c r="C51" s="4"/>
      <c r="D51" s="4"/>
      <c r="E51" s="4"/>
      <c r="F51" s="4"/>
      <c r="G51" s="4"/>
      <c r="H51" s="4"/>
    </row>
    <row r="52" customFormat="false" ht="30" hidden="false" customHeight="true" outlineLevel="0" collapsed="false">
      <c r="A52" s="4" t="s">
        <v>60</v>
      </c>
      <c r="B52" s="4"/>
      <c r="C52" s="4"/>
      <c r="D52" s="4"/>
      <c r="E52" s="4"/>
      <c r="F52" s="4"/>
      <c r="G52" s="4"/>
      <c r="H52" s="4"/>
    </row>
    <row r="53" customFormat="false" ht="15" hidden="false" customHeight="true" outlineLevel="0" collapsed="false">
      <c r="A53" s="4" t="s">
        <v>61</v>
      </c>
      <c r="B53" s="4"/>
      <c r="C53" s="4"/>
      <c r="D53" s="4"/>
      <c r="E53" s="4"/>
      <c r="F53" s="4"/>
      <c r="G53" s="4"/>
      <c r="H53" s="4"/>
    </row>
    <row r="54" customFormat="false" ht="15" hidden="false" customHeight="true" outlineLevel="0" collapsed="false">
      <c r="A54" s="4" t="s">
        <v>62</v>
      </c>
      <c r="B54" s="4"/>
      <c r="C54" s="4"/>
      <c r="D54" s="4"/>
      <c r="E54" s="4"/>
      <c r="F54" s="4"/>
      <c r="G54" s="4"/>
      <c r="H54" s="4"/>
    </row>
    <row r="56" customFormat="false" ht="15" hidden="false" customHeight="false" outlineLevel="0" collapsed="false">
      <c r="A56" s="3" t="s">
        <v>63</v>
      </c>
    </row>
    <row r="57" customFormat="false" ht="30" hidden="false" customHeight="true" outlineLevel="0" collapsed="false">
      <c r="A57" s="4" t="s">
        <v>64</v>
      </c>
      <c r="B57" s="4"/>
      <c r="C57" s="4"/>
      <c r="D57" s="4"/>
      <c r="E57" s="4"/>
      <c r="F57" s="4"/>
      <c r="G57" s="4"/>
      <c r="H57" s="4"/>
    </row>
    <row r="58" customFormat="false" ht="30" hidden="false" customHeight="true" outlineLevel="0" collapsed="false">
      <c r="A58" s="4" t="s">
        <v>65</v>
      </c>
      <c r="B58" s="4"/>
      <c r="C58" s="4"/>
      <c r="D58" s="4"/>
      <c r="E58" s="4"/>
      <c r="F58" s="4"/>
      <c r="G58" s="4"/>
      <c r="H58" s="4"/>
    </row>
    <row r="59" customFormat="false" ht="15" hidden="false" customHeight="true" outlineLevel="0" collapsed="false">
      <c r="A59" s="4" t="s">
        <v>66</v>
      </c>
      <c r="B59" s="4"/>
      <c r="C59" s="4"/>
      <c r="D59" s="4"/>
      <c r="E59" s="4"/>
      <c r="F59" s="4"/>
      <c r="G59" s="4"/>
      <c r="H59" s="4"/>
    </row>
    <row r="61" customFormat="false" ht="15" hidden="false" customHeight="false" outlineLevel="0" collapsed="false">
      <c r="A61" s="3" t="s">
        <v>67</v>
      </c>
    </row>
    <row r="62" customFormat="false" ht="30" hidden="false" customHeight="true" outlineLevel="0" collapsed="false">
      <c r="A62" s="4" t="s">
        <v>68</v>
      </c>
      <c r="B62" s="4"/>
      <c r="C62" s="4"/>
      <c r="D62" s="4"/>
      <c r="E62" s="4"/>
      <c r="F62" s="4"/>
      <c r="G62" s="4"/>
      <c r="H62" s="4"/>
    </row>
    <row r="63" customFormat="false" ht="30" hidden="false" customHeight="true" outlineLevel="0" collapsed="false">
      <c r="A63" s="4" t="s">
        <v>69</v>
      </c>
      <c r="B63" s="4"/>
      <c r="C63" s="4"/>
      <c r="D63" s="4"/>
      <c r="E63" s="4"/>
      <c r="F63" s="4"/>
      <c r="G63" s="4"/>
      <c r="H63" s="4"/>
    </row>
  </sheetData>
  <mergeCells count="19">
    <mergeCell ref="A5:H5"/>
    <mergeCell ref="A38:H38"/>
    <mergeCell ref="A39:H39"/>
    <mergeCell ref="A40:H40"/>
    <mergeCell ref="A41:H41"/>
    <mergeCell ref="A42:H42"/>
    <mergeCell ref="A43:H43"/>
    <mergeCell ref="A46:H46"/>
    <mergeCell ref="A47:H47"/>
    <mergeCell ref="A50:H50"/>
    <mergeCell ref="A51:H51"/>
    <mergeCell ref="A52:H52"/>
    <mergeCell ref="A53:H53"/>
    <mergeCell ref="A54:H54"/>
    <mergeCell ref="A57:H57"/>
    <mergeCell ref="A58:H58"/>
    <mergeCell ref="A59:H59"/>
    <mergeCell ref="A62:H62"/>
    <mergeCell ref="A63:H63"/>
  </mergeCells>
  <conditionalFormatting sqref="A31:A35">
    <cfRule type="expression" priority="2" aboveAverage="0" equalAverage="0" bottom="0" percent="0" rank="0" text="" dxfId="0">
      <formula>LEFT($A31,1)="1"</formula>
    </cfRule>
    <cfRule type="expression" priority="3" aboveAverage="0" equalAverage="0" bottom="0" percent="0" rank="0" text="" dxfId="0">
      <formula>LEFT($A31,1)="2"</formula>
    </cfRule>
    <cfRule type="expression" priority="4" aboveAverage="0" equalAverage="0" bottom="0" percent="0" rank="0" text="" dxfId="1">
      <formula>LEFT($A31,1)="3"</formula>
    </cfRule>
    <cfRule type="expression" priority="5" aboveAverage="0" equalAverage="0" bottom="0" percent="0" rank="0" text="" dxfId="1">
      <formula>LEFT($A31,1)="4"</formula>
    </cfRule>
    <cfRule type="expression" priority="6" aboveAverage="0" equalAverage="0" bottom="0" percent="0" rank="0" text="" dxfId="2">
      <formula>LEFT($A31,1)="5"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AA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6" topLeftCell="C27" activePane="bottomRight" state="frozen"/>
      <selection pane="topLeft" activeCell="A1" activeCellId="0" sqref="A1"/>
      <selection pane="topRight" activeCell="C1" activeCellId="0" sqref="C1"/>
      <selection pane="bottomLeft" activeCell="A27" activeCellId="0" sqref="A2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18" min="6" style="0" width="10"/>
    <col collapsed="false" customWidth="true" hidden="false" outlineLevel="0" max="19" min="19" style="0" width="9"/>
    <col collapsed="false" customWidth="true" hidden="false" outlineLevel="0" max="20" min="20" style="0" width="10"/>
    <col collapsed="false" customWidth="true" hidden="false" outlineLevel="0" max="21" min="21" style="0" width="13"/>
    <col collapsed="false" customWidth="true" hidden="false" outlineLevel="0" max="22" min="22" style="0" width="9"/>
    <col collapsed="false" customWidth="true" hidden="false" outlineLevel="0" max="23" min="23" style="0" width="36"/>
    <col collapsed="false" customWidth="true" hidden="false" outlineLevel="0" max="24" min="24" style="0" width="70"/>
    <col collapsed="false" customWidth="true" hidden="false" outlineLevel="0" max="25" min="25" style="0" width="40"/>
    <col collapsed="false" customWidth="true" hidden="false" outlineLevel="0" max="26" min="26" style="0" width="16"/>
    <col collapsed="false" customWidth="true" hidden="false" outlineLevel="0" max="27" min="27" style="0" width="9"/>
  </cols>
  <sheetData>
    <row r="1" customFormat="false" ht="17.35" hidden="false" customHeight="false" outlineLevel="0" collapsed="false">
      <c r="A1" s="11" t="s">
        <v>70</v>
      </c>
    </row>
    <row r="2" customFormat="false" ht="15" hidden="false" customHeight="false" outlineLevel="0" collapsed="false">
      <c r="A2" s="12" t="s">
        <v>71</v>
      </c>
    </row>
    <row r="4" customFormat="false" ht="15" hidden="false" customHeight="false" outlineLevel="0" collapsed="false">
      <c r="A4" s="3" t="s">
        <v>72</v>
      </c>
    </row>
    <row r="5" customFormat="false" ht="21.75" hidden="false" customHeight="true" outlineLevel="0" collapsed="false">
      <c r="A5" s="5" t="s">
        <v>73</v>
      </c>
      <c r="B5" s="5" t="s">
        <v>42</v>
      </c>
      <c r="C5" s="5" t="s">
        <v>74</v>
      </c>
      <c r="D5" s="5" t="s">
        <v>44</v>
      </c>
      <c r="E5" s="5" t="s">
        <v>9</v>
      </c>
    </row>
    <row r="6" customFormat="false" ht="15" hidden="false" customHeight="false" outlineLevel="0" collapsed="false">
      <c r="A6" s="8" t="s">
        <v>75</v>
      </c>
      <c r="B6" s="8" t="n">
        <f aca="false">COUNTIF(Campaigns!$D$6:$D$45,"SP Exact keyword")</f>
        <v>30</v>
      </c>
      <c r="C6" s="8" t="n">
        <f aca="false">COUNTIFS(Campaigns!$D$6:$D$45,"SP Exact keyword",Campaigns!$H$6:$H$45,"ENABLED")</f>
        <v>15</v>
      </c>
      <c r="D6" s="7" t="n">
        <f aca="false">SUMIFS(Campaigns!$O$6:$O$45,Campaigns!$D$6:$D$45,"SP Exact keyword")</f>
        <v>1444.15</v>
      </c>
      <c r="E6" s="8" t="s">
        <v>76</v>
      </c>
    </row>
    <row r="7" customFormat="false" ht="15" hidden="false" customHeight="false" outlineLevel="0" collapsed="false">
      <c r="A7" s="8" t="s">
        <v>77</v>
      </c>
      <c r="B7" s="8" t="n">
        <f aca="false">COUNTIF(Campaigns!$D$6:$D$45,"SP Product targeting")</f>
        <v>10</v>
      </c>
      <c r="C7" s="8" t="n">
        <f aca="false">COUNTIFS(Campaigns!$D$6:$D$45,"SP Product targeting",Campaigns!$H$6:$H$45,"ENABLED")</f>
        <v>7</v>
      </c>
      <c r="D7" s="7" t="n">
        <f aca="false">SUMIFS(Campaigns!$O$6:$O$45,Campaigns!$D$6:$D$45,"SP Product targeting")</f>
        <v>203.87</v>
      </c>
      <c r="E7" s="8" t="s">
        <v>78</v>
      </c>
    </row>
    <row r="8" customFormat="false" ht="15" hidden="false" customHeight="false" outlineLevel="0" collapsed="false">
      <c r="A8" s="8" t="s">
        <v>79</v>
      </c>
      <c r="B8" s="8" t="n">
        <v>0</v>
      </c>
      <c r="C8" s="8" t="n">
        <v>0</v>
      </c>
      <c r="D8" s="7" t="n">
        <v>0</v>
      </c>
      <c r="E8" s="8" t="s">
        <v>80</v>
      </c>
    </row>
    <row r="9" customFormat="false" ht="15" hidden="false" customHeight="false" outlineLevel="0" collapsed="false">
      <c r="A9" s="8" t="s">
        <v>81</v>
      </c>
      <c r="B9" s="8" t="n">
        <v>0</v>
      </c>
      <c r="C9" s="8" t="n">
        <v>0</v>
      </c>
      <c r="D9" s="7" t="n">
        <v>0</v>
      </c>
      <c r="E9" s="8" t="s">
        <v>80</v>
      </c>
    </row>
    <row r="10" customFormat="false" ht="15" hidden="false" customHeight="false" outlineLevel="0" collapsed="false">
      <c r="A10" s="8" t="s">
        <v>82</v>
      </c>
      <c r="B10" s="8" t="n">
        <v>0</v>
      </c>
      <c r="C10" s="8" t="n">
        <v>0</v>
      </c>
      <c r="D10" s="7" t="n">
        <v>0</v>
      </c>
      <c r="E10" s="8" t="s">
        <v>80</v>
      </c>
    </row>
    <row r="11" customFormat="false" ht="15" hidden="false" customHeight="false" outlineLevel="0" collapsed="false">
      <c r="A11" s="8" t="s">
        <v>83</v>
      </c>
      <c r="B11" s="8" t="n">
        <v>0</v>
      </c>
      <c r="C11" s="8" t="n">
        <v>0</v>
      </c>
      <c r="D11" s="7" t="n">
        <v>0</v>
      </c>
      <c r="E11" s="8" t="s">
        <v>84</v>
      </c>
    </row>
    <row r="12" customFormat="false" ht="15" hidden="false" customHeight="false" outlineLevel="0" collapsed="false">
      <c r="A12" s="8" t="s">
        <v>85</v>
      </c>
      <c r="B12" s="8" t="n">
        <v>0</v>
      </c>
      <c r="C12" s="8" t="n">
        <v>0</v>
      </c>
      <c r="D12" s="7" t="n">
        <v>0</v>
      </c>
      <c r="E12" s="8" t="s">
        <v>86</v>
      </c>
    </row>
    <row r="13" customFormat="false" ht="15" hidden="false" customHeight="false" outlineLevel="0" collapsed="false">
      <c r="A13" s="8" t="s">
        <v>87</v>
      </c>
      <c r="B13" s="8" t="n">
        <v>0</v>
      </c>
      <c r="C13" s="8" t="n">
        <v>0</v>
      </c>
      <c r="D13" s="7" t="n">
        <v>0</v>
      </c>
      <c r="E13" s="8" t="s">
        <v>80</v>
      </c>
    </row>
    <row r="14" customFormat="false" ht="15" hidden="false" customHeight="false" outlineLevel="0" collapsed="false">
      <c r="A14" s="12" t="s">
        <v>88</v>
      </c>
    </row>
    <row r="16" customFormat="false" ht="15" hidden="false" customHeight="false" outlineLevel="0" collapsed="false">
      <c r="A16" s="3" t="s">
        <v>89</v>
      </c>
    </row>
    <row r="17" customFormat="false" ht="45" hidden="false" customHeight="true" outlineLevel="0" collapsed="false">
      <c r="A17" s="5" t="s">
        <v>41</v>
      </c>
      <c r="B17" s="5" t="s">
        <v>42</v>
      </c>
      <c r="C17" s="5" t="s">
        <v>43</v>
      </c>
      <c r="D17" s="5" t="s">
        <v>44</v>
      </c>
      <c r="E17" s="5" t="s">
        <v>45</v>
      </c>
      <c r="F17" s="5" t="s">
        <v>46</v>
      </c>
      <c r="G17" s="5" t="s">
        <v>90</v>
      </c>
      <c r="H17" s="5" t="s">
        <v>91</v>
      </c>
    </row>
    <row r="18" customFormat="false" ht="15" hidden="false" customHeight="false" outlineLevel="0" collapsed="false">
      <c r="A18" s="8" t="s">
        <v>92</v>
      </c>
      <c r="B18" s="9" t="n">
        <f aca="false">COUNTIF(Campaigns!$AT$6:$AT$45,$A18)</f>
        <v>2</v>
      </c>
      <c r="C18" s="9" t="n">
        <f aca="false">COUNTIFS(Campaigns!$AT$6:$AT$45,$A18,Campaigns!$AU$6:$AU$45,"ENABLED")</f>
        <v>2</v>
      </c>
      <c r="D18" s="7" t="n">
        <f aca="false">SUMIFS(Campaigns!$O$6:$O$45,Campaigns!$AT$6:$AT$45,$A18)</f>
        <v>173.26</v>
      </c>
      <c r="E18" s="9" t="n">
        <f aca="false">SUMIFS(Campaigns!$P$6:$P$45,Campaigns!$AT$6:$AT$45,$A18)</f>
        <v>6</v>
      </c>
      <c r="F18" s="7" t="n">
        <f aca="false">SUMIFS(Campaigns!$X$6:$X$45,Campaigns!$AT$6:$AT$45,$A18)</f>
        <v>96.88</v>
      </c>
      <c r="G18" s="9" t="n">
        <f aca="false">SUMIFS(Campaigns!$Y$6:$Y$45,Campaigns!$AT$6:$AT$45,$A18)</f>
        <v>3</v>
      </c>
      <c r="H18" s="7" t="n">
        <f aca="false">SUMIFS(Campaigns!$O$6:$O$45,Campaigns!$AT$6:$AT$45,$A18,Campaigns!$P$6:$P$45,0)</f>
        <v>0</v>
      </c>
    </row>
    <row r="19" customFormat="false" ht="15" hidden="false" customHeight="false" outlineLevel="0" collapsed="false">
      <c r="A19" s="8" t="s">
        <v>93</v>
      </c>
      <c r="B19" s="9" t="n">
        <f aca="false">COUNTIF(Campaigns!$AT$6:$AT$45,$A19)</f>
        <v>1</v>
      </c>
      <c r="C19" s="9" t="n">
        <f aca="false">COUNTIFS(Campaigns!$AT$6:$AT$45,$A19,Campaigns!$AU$6:$AU$45,"ENABLED")</f>
        <v>1</v>
      </c>
      <c r="D19" s="7" t="n">
        <f aca="false">SUMIFS(Campaigns!$O$6:$O$45,Campaigns!$AT$6:$AT$45,$A19)</f>
        <v>1.38</v>
      </c>
      <c r="E19" s="9" t="n">
        <f aca="false">SUMIFS(Campaigns!$P$6:$P$45,Campaigns!$AT$6:$AT$45,$A19)</f>
        <v>0</v>
      </c>
      <c r="F19" s="7" t="n">
        <f aca="false">SUMIFS(Campaigns!$X$6:$X$45,Campaigns!$AT$6:$AT$45,$A19)</f>
        <v>0</v>
      </c>
      <c r="G19" s="9" t="n">
        <f aca="false">SUMIFS(Campaigns!$Y$6:$Y$45,Campaigns!$AT$6:$AT$45,$A19)</f>
        <v>0</v>
      </c>
      <c r="H19" s="7" t="n">
        <f aca="false">SUMIFS(Campaigns!$O$6:$O$45,Campaigns!$AT$6:$AT$45,$A19,Campaigns!$P$6:$P$45,0)</f>
        <v>1.38</v>
      </c>
    </row>
    <row r="20" customFormat="false" ht="15" hidden="false" customHeight="false" outlineLevel="0" collapsed="false">
      <c r="A20" s="8" t="s">
        <v>94</v>
      </c>
      <c r="B20" s="9" t="n">
        <f aca="false">COUNTIF(Campaigns!$AT$6:$AT$45,$A20)</f>
        <v>6</v>
      </c>
      <c r="C20" s="9" t="n">
        <f aca="false">COUNTIFS(Campaigns!$AT$6:$AT$45,$A20,Campaigns!$AU$6:$AU$45,"ENABLED")</f>
        <v>0</v>
      </c>
      <c r="D20" s="7" t="n">
        <f aca="false">SUMIFS(Campaigns!$O$6:$O$45,Campaigns!$AT$6:$AT$45,$A20)</f>
        <v>480.77</v>
      </c>
      <c r="E20" s="9" t="n">
        <f aca="false">SUMIFS(Campaigns!$P$6:$P$45,Campaigns!$AT$6:$AT$45,$A20)</f>
        <v>13</v>
      </c>
      <c r="F20" s="7" t="n">
        <f aca="false">SUMIFS(Campaigns!$X$6:$X$45,Campaigns!$AT$6:$AT$45,$A20)</f>
        <v>51.91</v>
      </c>
      <c r="G20" s="9" t="n">
        <f aca="false">SUMIFS(Campaigns!$Y$6:$Y$45,Campaigns!$AT$6:$AT$45,$A20)</f>
        <v>0</v>
      </c>
      <c r="H20" s="7" t="n">
        <f aca="false">SUMIFS(Campaigns!$O$6:$O$45,Campaigns!$AT$6:$AT$45,$A20,Campaigns!$P$6:$P$45,0)</f>
        <v>42.81</v>
      </c>
    </row>
    <row r="21" customFormat="false" ht="15" hidden="false" customHeight="false" outlineLevel="0" collapsed="false">
      <c r="A21" s="8" t="s">
        <v>95</v>
      </c>
      <c r="B21" s="9" t="n">
        <f aca="false">COUNTIF(Campaigns!$AT$6:$AT$45,$A21)</f>
        <v>6</v>
      </c>
      <c r="C21" s="9" t="n">
        <f aca="false">COUNTIFS(Campaigns!$AT$6:$AT$45,$A21,Campaigns!$AU$6:$AU$45,"ENABLED")</f>
        <v>0</v>
      </c>
      <c r="D21" s="7" t="n">
        <f aca="false">SUMIFS(Campaigns!$O$6:$O$45,Campaigns!$AT$6:$AT$45,$A21)</f>
        <v>461.08</v>
      </c>
      <c r="E21" s="9" t="n">
        <f aca="false">SUMIFS(Campaigns!$P$6:$P$45,Campaigns!$AT$6:$AT$45,$A21)</f>
        <v>12</v>
      </c>
      <c r="F21" s="7" t="n">
        <f aca="false">SUMIFS(Campaigns!$X$6:$X$45,Campaigns!$AT$6:$AT$45,$A21)</f>
        <v>150.3</v>
      </c>
      <c r="G21" s="9" t="n">
        <f aca="false">SUMIFS(Campaigns!$Y$6:$Y$45,Campaigns!$AT$6:$AT$45,$A21)</f>
        <v>1</v>
      </c>
      <c r="H21" s="7" t="n">
        <f aca="false">SUMIFS(Campaigns!$O$6:$O$45,Campaigns!$AT$6:$AT$45,$A21,Campaigns!$P$6:$P$45,0)</f>
        <v>22.9</v>
      </c>
    </row>
    <row r="22" customFormat="false" ht="15" hidden="false" customHeight="false" outlineLevel="0" collapsed="false">
      <c r="A22" s="8" t="s">
        <v>96</v>
      </c>
      <c r="B22" s="9" t="n">
        <f aca="false">COUNTIF(Campaigns!$AT$6:$AT$45,$A22)</f>
        <v>25</v>
      </c>
      <c r="C22" s="9" t="n">
        <f aca="false">COUNTIFS(Campaigns!$AT$6:$AT$45,$A22,Campaigns!$AU$6:$AU$45,"ENABLED")</f>
        <v>0</v>
      </c>
      <c r="D22" s="7" t="n">
        <f aca="false">SUMIFS(Campaigns!$O$6:$O$45,Campaigns!$AT$6:$AT$45,$A22)</f>
        <v>531.53</v>
      </c>
      <c r="E22" s="9" t="n">
        <f aca="false">SUMIFS(Campaigns!$P$6:$P$45,Campaigns!$AT$6:$AT$45,$A22)</f>
        <v>3</v>
      </c>
      <c r="F22" s="7" t="n">
        <f aca="false">SUMIFS(Campaigns!$X$6:$X$45,Campaigns!$AT$6:$AT$45,$A22)</f>
        <v>188.4</v>
      </c>
      <c r="G22" s="9" t="n">
        <f aca="false">SUMIFS(Campaigns!$Y$6:$Y$45,Campaigns!$AT$6:$AT$45,$A22)</f>
        <v>0</v>
      </c>
      <c r="H22" s="7" t="n">
        <f aca="false">SUMIFS(Campaigns!$O$6:$O$45,Campaigns!$AT$6:$AT$45,$A22,Campaigns!$P$6:$P$45,0)</f>
        <v>472</v>
      </c>
    </row>
    <row r="23" customFormat="false" ht="15" hidden="false" customHeight="false" outlineLevel="0" collapsed="false">
      <c r="A23" s="13" t="s">
        <v>97</v>
      </c>
      <c r="B23" s="14" t="n">
        <f aca="false">SUM(B18:B22)</f>
        <v>40</v>
      </c>
      <c r="C23" s="14" t="n">
        <f aca="false">SUM(C18:C22)</f>
        <v>3</v>
      </c>
      <c r="D23" s="15" t="n">
        <f aca="false">SUM(D18:D22)</f>
        <v>1648.02</v>
      </c>
      <c r="E23" s="14" t="n">
        <f aca="false">SUM(E18:E22)</f>
        <v>34</v>
      </c>
      <c r="F23" s="15" t="n">
        <f aca="false">SUM(F18:F22)</f>
        <v>487.49</v>
      </c>
      <c r="G23" s="14" t="n">
        <f aca="false">SUM(G18:G22)</f>
        <v>4</v>
      </c>
      <c r="H23" s="15" t="n">
        <f aca="false">SUM(H18:H22)</f>
        <v>539.09</v>
      </c>
    </row>
    <row r="25" customFormat="false" ht="15" hidden="false" customHeight="false" outlineLevel="0" collapsed="false">
      <c r="A25" s="3" t="s">
        <v>98</v>
      </c>
    </row>
    <row r="26" customFormat="false" ht="57.75" hidden="false" customHeight="true" outlineLevel="0" collapsed="false">
      <c r="A26" s="5" t="s">
        <v>41</v>
      </c>
      <c r="B26" s="5" t="s">
        <v>99</v>
      </c>
      <c r="C26" s="5" t="s">
        <v>100</v>
      </c>
      <c r="D26" s="5" t="s">
        <v>101</v>
      </c>
      <c r="E26" s="5" t="s">
        <v>102</v>
      </c>
      <c r="F26" s="5" t="s">
        <v>103</v>
      </c>
      <c r="G26" s="5" t="s">
        <v>104</v>
      </c>
      <c r="H26" s="5" t="s">
        <v>105</v>
      </c>
      <c r="I26" s="5" t="s">
        <v>45</v>
      </c>
      <c r="J26" s="5" t="s">
        <v>44</v>
      </c>
      <c r="K26" s="5" t="s">
        <v>106</v>
      </c>
      <c r="L26" s="5" t="s">
        <v>107</v>
      </c>
      <c r="M26" s="5" t="s">
        <v>108</v>
      </c>
      <c r="N26" s="5" t="s">
        <v>109</v>
      </c>
      <c r="O26" s="5" t="s">
        <v>110</v>
      </c>
      <c r="P26" s="5" t="s">
        <v>90</v>
      </c>
      <c r="Q26" s="5" t="s">
        <v>46</v>
      </c>
      <c r="R26" s="5" t="s">
        <v>111</v>
      </c>
      <c r="S26" s="5" t="s">
        <v>112</v>
      </c>
      <c r="T26" s="5" t="s">
        <v>113</v>
      </c>
      <c r="U26" s="5" t="s">
        <v>114</v>
      </c>
      <c r="V26" s="5" t="s">
        <v>115</v>
      </c>
      <c r="W26" s="5" t="s">
        <v>116</v>
      </c>
      <c r="X26" s="5" t="s">
        <v>117</v>
      </c>
      <c r="Y26" s="5" t="s">
        <v>118</v>
      </c>
      <c r="Z26" s="5" t="s">
        <v>119</v>
      </c>
      <c r="AA26" s="16" t="s">
        <v>120</v>
      </c>
    </row>
    <row r="27" customFormat="false" ht="49.25" hidden="false" customHeight="false" outlineLevel="0" collapsed="false">
      <c r="A27" s="17" t="s">
        <v>92</v>
      </c>
      <c r="B27" s="17" t="s">
        <v>121</v>
      </c>
      <c r="C27" s="18" t="s">
        <v>122</v>
      </c>
      <c r="D27" s="8" t="str">
        <f aca="false">INDEX(Campaigns!$D$6:$D$45,MATCH($C27,Campaigns!$A$6:$A$45,0))</f>
        <v>SP Exact keyword</v>
      </c>
      <c r="E27" s="8" t="s">
        <v>121</v>
      </c>
      <c r="F27" s="8" t="str">
        <f aca="false">INDEX(Campaigns!$H$6:$H$45,MATCH($C27,Campaigns!$A$6:$A$45,0))</f>
        <v>ENABLED</v>
      </c>
      <c r="G27" s="8" t="str">
        <f aca="false">INDEX(Campaigns!$AU$6:$AU$45,MATCH($C27,Campaigns!$A$6:$A$45,0))</f>
        <v>ENABLED</v>
      </c>
      <c r="H27" s="9" t="n">
        <f aca="false">INDEX(Campaigns!$N$6:$N$45,MATCH($C27,Campaigns!$A$6:$A$45,0))</f>
        <v>184</v>
      </c>
      <c r="I27" s="9" t="n">
        <f aca="false">INDEX(Campaigns!$P$6:$P$45,MATCH($C27,Campaigns!$A$6:$A$45,0))</f>
        <v>4</v>
      </c>
      <c r="J27" s="7" t="n">
        <f aca="false">INDEX(Campaigns!$O$6:$O$45,MATCH($C27,Campaigns!$A$6:$A$45,0))</f>
        <v>128.41</v>
      </c>
      <c r="K27" s="10" t="n">
        <f aca="false">INDEX(Campaigns!$U$6:$U$45,MATCH($C27,Campaigns!$A$6:$A$45,0))</f>
        <v>0.850679032792315</v>
      </c>
      <c r="L27" s="7" t="n">
        <f aca="false">INDEX(Campaigns!$T$6:$T$45,MATCH($C27,Campaigns!$A$6:$A$45,0))</f>
        <v>0.697880434782609</v>
      </c>
      <c r="M27" s="9" t="n">
        <f aca="false">INDEX(Campaigns!$AH$6:$AH$45,MATCH($C27,Campaigns!$A$6:$A$45,0))+INDEX(Campaigns!$AJ$6:$AJ$45,MATCH($C27,Campaigns!$A$6:$A$45,0))+INDEX(Campaigns!$AL$6:$AL$45,MATCH($C27,Campaigns!$A$6:$A$45,0))</f>
        <v>184</v>
      </c>
      <c r="N27" s="19" t="n">
        <v>4</v>
      </c>
      <c r="O27" s="9" t="n">
        <f aca="false">INDEX(Campaigns!$W$6:$W$45,MATCH($C27,Campaigns!$A$6:$A$45,0))</f>
        <v>92</v>
      </c>
      <c r="P27" s="9" t="n">
        <f aca="false">INDEX(Campaigns!$Y$6:$Y$45,MATCH($C27,Campaigns!$A$6:$A$45,0))</f>
        <v>1</v>
      </c>
      <c r="Q27" s="7" t="n">
        <f aca="false">INDEX(Campaigns!$X$6:$X$45,MATCH($C27,Campaigns!$A$6:$A$45,0))</f>
        <v>69.17</v>
      </c>
      <c r="R27" s="7" t="n">
        <f aca="false">IF(I27=0,J27,0)</f>
        <v>0</v>
      </c>
      <c r="S27" s="20" t="n">
        <f aca="false">IF(INDEX(Campaigns!$J$6:$J$45,MATCH($C27,Campaigns!$A$6:$A$45,0))="","",INDEX(Campaigns!$J$6:$J$45,MATCH($C27,Campaigns!$A$6:$A$45,0)))</f>
        <v>2.8</v>
      </c>
      <c r="T27" s="9" t="n">
        <f aca="false">IFERROR(INDEX('Search Terms'!$C$5:$C$137,MATCH($E27,'Search Terms'!$A$5:$A$137,0)),"")</f>
        <v>725</v>
      </c>
      <c r="U27" s="8" t="str">
        <f aca="false">IFERROR(INDEX('Search Terms'!$B$5:$B$137,MATCH($E27,'Search Terms'!$A$5:$A$137,0)),"")</f>
        <v>Relevant</v>
      </c>
      <c r="V27" s="8" t="n">
        <f aca="false">IFERROR(INDEX('Search Terms'!$D$5:$D$137,MATCH($E27,'Search Terms'!$A$5:$A$137,0)),"")</f>
        <v>79</v>
      </c>
      <c r="W27" s="17" t="s">
        <v>123</v>
      </c>
      <c r="X27" s="17" t="s">
        <v>124</v>
      </c>
      <c r="Y27" s="17" t="s">
        <v>125</v>
      </c>
      <c r="Z27" s="8" t="s">
        <v>126</v>
      </c>
      <c r="AA27" s="21"/>
    </row>
    <row r="28" customFormat="false" ht="37.3" hidden="false" customHeight="false" outlineLevel="0" collapsed="false">
      <c r="A28" s="17" t="s">
        <v>92</v>
      </c>
      <c r="B28" s="17" t="s">
        <v>127</v>
      </c>
      <c r="C28" s="18" t="s">
        <v>128</v>
      </c>
      <c r="D28" s="8" t="str">
        <f aca="false">INDEX(Campaigns!$D$6:$D$45,MATCH($C28,Campaigns!$A$6:$A$45,0))</f>
        <v>SP Exact keyword</v>
      </c>
      <c r="E28" s="8" t="s">
        <v>127</v>
      </c>
      <c r="F28" s="8" t="str">
        <f aca="false">INDEX(Campaigns!$H$6:$H$45,MATCH($C28,Campaigns!$A$6:$A$45,0))</f>
        <v>PAUSED</v>
      </c>
      <c r="G28" s="8" t="str">
        <f aca="false">INDEX(Campaigns!$AU$6:$AU$45,MATCH($C28,Campaigns!$A$6:$A$45,0))</f>
        <v>ENABLED</v>
      </c>
      <c r="H28" s="9" t="n">
        <f aca="false">INDEX(Campaigns!$N$6:$N$45,MATCH($C28,Campaigns!$A$6:$A$45,0))</f>
        <v>50</v>
      </c>
      <c r="I28" s="9" t="n">
        <f aca="false">INDEX(Campaigns!$P$6:$P$45,MATCH($C28,Campaigns!$A$6:$A$45,0))</f>
        <v>2</v>
      </c>
      <c r="J28" s="7" t="n">
        <f aca="false">INDEX(Campaigns!$O$6:$O$45,MATCH($C28,Campaigns!$A$6:$A$45,0))</f>
        <v>44.85</v>
      </c>
      <c r="K28" s="10" t="n">
        <f aca="false">INDEX(Campaigns!$U$6:$U$45,MATCH($C28,Campaigns!$A$6:$A$45,0))</f>
        <v>0.723620522749274</v>
      </c>
      <c r="L28" s="7" t="n">
        <f aca="false">INDEX(Campaigns!$T$6:$T$45,MATCH($C28,Campaigns!$A$6:$A$45,0))</f>
        <v>0.897</v>
      </c>
      <c r="M28" s="9" t="n">
        <f aca="false">INDEX(Campaigns!$AH$6:$AH$45,MATCH($C28,Campaigns!$A$6:$A$45,0))+INDEX(Campaigns!$AJ$6:$AJ$45,MATCH($C28,Campaigns!$A$6:$A$45,0))+INDEX(Campaigns!$AL$6:$AL$45,MATCH($C28,Campaigns!$A$6:$A$45,0))</f>
        <v>50</v>
      </c>
      <c r="N28" s="19" t="n">
        <v>2</v>
      </c>
      <c r="O28" s="9" t="n">
        <f aca="false">INDEX(Campaigns!$W$6:$W$45,MATCH($C28,Campaigns!$A$6:$A$45,0))</f>
        <v>28</v>
      </c>
      <c r="P28" s="9" t="n">
        <f aca="false">INDEX(Campaigns!$Y$6:$Y$45,MATCH($C28,Campaigns!$A$6:$A$45,0))</f>
        <v>2</v>
      </c>
      <c r="Q28" s="7" t="n">
        <f aca="false">INDEX(Campaigns!$X$6:$X$45,MATCH($C28,Campaigns!$A$6:$A$45,0))</f>
        <v>27.71</v>
      </c>
      <c r="R28" s="7" t="n">
        <f aca="false">IF(I28=0,J28,0)</f>
        <v>0</v>
      </c>
      <c r="S28" s="20" t="str">
        <f aca="false">IF(INDEX(Campaigns!$J$6:$J$45,MATCH($C28,Campaigns!$A$6:$A$45,0))="","",INDEX(Campaigns!$J$6:$J$45,MATCH($C28,Campaigns!$A$6:$A$45,0)))</f>
        <v/>
      </c>
      <c r="T28" s="9" t="n">
        <f aca="false">IFERROR(INDEX('Search Terms'!$C$5:$C$137,MATCH($E28,'Search Terms'!$A$5:$A$137,0)),"")</f>
        <v>591</v>
      </c>
      <c r="U28" s="8" t="str">
        <f aca="false">IFERROR(INDEX('Search Terms'!$B$5:$B$137,MATCH($E28,'Search Terms'!$A$5:$A$137,0)),"")</f>
        <v>Highly Relevant</v>
      </c>
      <c r="V28" s="8" t="n">
        <f aca="false">IFERROR(INDEX('Search Terms'!$D$5:$D$137,MATCH($E28,'Search Terms'!$A$5:$A$137,0)),"")</f>
        <v>85</v>
      </c>
      <c r="W28" s="17" t="s">
        <v>129</v>
      </c>
      <c r="X28" s="17" t="s">
        <v>130</v>
      </c>
      <c r="Y28" s="17" t="s">
        <v>131</v>
      </c>
      <c r="Z28" s="8" t="s">
        <v>126</v>
      </c>
      <c r="AA28" s="21"/>
    </row>
    <row r="29" customFormat="false" ht="37.3" hidden="false" customHeight="false" outlineLevel="0" collapsed="false">
      <c r="A29" s="17" t="s">
        <v>93</v>
      </c>
      <c r="B29" s="17" t="s">
        <v>132</v>
      </c>
      <c r="C29" s="18" t="s">
        <v>133</v>
      </c>
      <c r="D29" s="8" t="str">
        <f aca="false">INDEX(Campaigns!$D$6:$D$45,MATCH($C29,Campaigns!$A$6:$A$45,0))</f>
        <v>SP Exact keyword</v>
      </c>
      <c r="E29" s="8" t="s">
        <v>132</v>
      </c>
      <c r="F29" s="8" t="str">
        <f aca="false">INDEX(Campaigns!$H$6:$H$45,MATCH($C29,Campaigns!$A$6:$A$45,0))</f>
        <v>ENABLED</v>
      </c>
      <c r="G29" s="8" t="str">
        <f aca="false">INDEX(Campaigns!$AU$6:$AU$45,MATCH($C29,Campaigns!$A$6:$A$45,0))</f>
        <v>ENABLED</v>
      </c>
      <c r="H29" s="9" t="n">
        <f aca="false">INDEX(Campaigns!$N$6:$N$45,MATCH($C29,Campaigns!$A$6:$A$45,0))</f>
        <v>4</v>
      </c>
      <c r="I29" s="9" t="n">
        <f aca="false">INDEX(Campaigns!$P$6:$P$45,MATCH($C29,Campaigns!$A$6:$A$45,0))</f>
        <v>0</v>
      </c>
      <c r="J29" s="7" t="n">
        <f aca="false">INDEX(Campaigns!$O$6:$O$45,MATCH($C29,Campaigns!$A$6:$A$45,0))</f>
        <v>1.38</v>
      </c>
      <c r="K29" s="10" t="str">
        <f aca="false">INDEX(Campaigns!$U$6:$U$45,MATCH($C29,Campaigns!$A$6:$A$45,0))</f>
        <v/>
      </c>
      <c r="L29" s="7" t="n">
        <f aca="false">INDEX(Campaigns!$T$6:$T$45,MATCH($C29,Campaigns!$A$6:$A$45,0))</f>
        <v>0.345</v>
      </c>
      <c r="M29" s="9" t="n">
        <f aca="false">INDEX(Campaigns!$AH$6:$AH$45,MATCH($C29,Campaigns!$A$6:$A$45,0))+INDEX(Campaigns!$AJ$6:$AJ$45,MATCH($C29,Campaigns!$A$6:$A$45,0))+INDEX(Campaigns!$AL$6:$AL$45,MATCH($C29,Campaigns!$A$6:$A$45,0))</f>
        <v>4</v>
      </c>
      <c r="N29" s="19" t="n">
        <v>0</v>
      </c>
      <c r="O29" s="9" t="n">
        <f aca="false">INDEX(Campaigns!$W$6:$W$45,MATCH($C29,Campaigns!$A$6:$A$45,0))</f>
        <v>0</v>
      </c>
      <c r="P29" s="9" t="n">
        <f aca="false">INDEX(Campaigns!$Y$6:$Y$45,MATCH($C29,Campaigns!$A$6:$A$45,0))</f>
        <v>0</v>
      </c>
      <c r="Q29" s="7" t="n">
        <f aca="false">INDEX(Campaigns!$X$6:$X$45,MATCH($C29,Campaigns!$A$6:$A$45,0))</f>
        <v>0</v>
      </c>
      <c r="R29" s="7" t="n">
        <f aca="false">IF(I29=0,J29,0)</f>
        <v>1.38</v>
      </c>
      <c r="S29" s="20" t="n">
        <f aca="false">IF(INDEX(Campaigns!$J$6:$J$45,MATCH($C29,Campaigns!$A$6:$A$45,0))="","",INDEX(Campaigns!$J$6:$J$45,MATCH($C29,Campaigns!$A$6:$A$45,0)))</f>
        <v>3.8</v>
      </c>
      <c r="T29" s="9" t="n">
        <f aca="false">IFERROR(INDEX('Search Terms'!$C$5:$C$137,MATCH($E29,'Search Terms'!$A$5:$A$137,0)),"")</f>
        <v>9</v>
      </c>
      <c r="U29" s="8" t="str">
        <f aca="false">IFERROR(INDEX('Search Terms'!$B$5:$B$137,MATCH($E29,'Search Terms'!$A$5:$A$137,0)),"")</f>
        <v>Branded</v>
      </c>
      <c r="V29" s="8" t="n">
        <f aca="false">IFERROR(INDEX('Search Terms'!$D$5:$D$137,MATCH($E29,'Search Terms'!$A$5:$A$137,0)),"")</f>
        <v>1</v>
      </c>
      <c r="W29" s="17" t="s">
        <v>134</v>
      </c>
      <c r="X29" s="17" t="s">
        <v>135</v>
      </c>
      <c r="Y29" s="17" t="s">
        <v>136</v>
      </c>
      <c r="Z29" s="8" t="s">
        <v>126</v>
      </c>
      <c r="AA29" s="21"/>
    </row>
    <row r="30" customFormat="false" ht="49.25" hidden="false" customHeight="false" outlineLevel="0" collapsed="false">
      <c r="A30" s="17" t="s">
        <v>94</v>
      </c>
      <c r="B30" s="17" t="s">
        <v>137</v>
      </c>
      <c r="C30" s="18" t="s">
        <v>138</v>
      </c>
      <c r="D30" s="8" t="str">
        <f aca="false">INDEX(Campaigns!$D$6:$D$45,MATCH($C30,Campaigns!$A$6:$A$45,0))</f>
        <v>SP Exact keyword</v>
      </c>
      <c r="E30" s="8" t="s">
        <v>137</v>
      </c>
      <c r="F30" s="8" t="str">
        <f aca="false">INDEX(Campaigns!$H$6:$H$45,MATCH($C30,Campaigns!$A$6:$A$45,0))</f>
        <v>ENABLED</v>
      </c>
      <c r="G30" s="8" t="str">
        <f aca="false">INDEX(Campaigns!$AU$6:$AU$45,MATCH($C30,Campaigns!$A$6:$A$45,0))</f>
        <v>PAUSED</v>
      </c>
      <c r="H30" s="9" t="n">
        <f aca="false">INDEX(Campaigns!$N$6:$N$45,MATCH($C30,Campaigns!$A$6:$A$45,0))</f>
        <v>476</v>
      </c>
      <c r="I30" s="9" t="n">
        <f aca="false">INDEX(Campaigns!$P$6:$P$45,MATCH($C30,Campaigns!$A$6:$A$45,0))</f>
        <v>5</v>
      </c>
      <c r="J30" s="7" t="n">
        <f aca="false">INDEX(Campaigns!$O$6:$O$45,MATCH($C30,Campaigns!$A$6:$A$45,0))</f>
        <v>158.98</v>
      </c>
      <c r="K30" s="10" t="n">
        <f aca="false">INDEX(Campaigns!$U$6:$U$45,MATCH($C30,Campaigns!$A$6:$A$45,0))</f>
        <v>1.05319642265651</v>
      </c>
      <c r="L30" s="7" t="n">
        <f aca="false">INDEX(Campaigns!$T$6:$T$45,MATCH($C30,Campaigns!$A$6:$A$45,0))</f>
        <v>0.333991596638655</v>
      </c>
      <c r="M30" s="9" t="n">
        <f aca="false">INDEX(Campaigns!$AH$6:$AH$45,MATCH($C30,Campaigns!$A$6:$A$45,0))+INDEX(Campaigns!$AJ$6:$AJ$45,MATCH($C30,Campaigns!$A$6:$A$45,0))+INDEX(Campaigns!$AL$6:$AL$45,MATCH($C30,Campaigns!$A$6:$A$45,0))</f>
        <v>54</v>
      </c>
      <c r="N30" s="19" t="n">
        <v>1</v>
      </c>
      <c r="O30" s="9" t="n">
        <f aca="false">INDEX(Campaigns!$W$6:$W$45,MATCH($C30,Campaigns!$A$6:$A$45,0))</f>
        <v>31</v>
      </c>
      <c r="P30" s="9" t="n">
        <f aca="false">INDEX(Campaigns!$Y$6:$Y$45,MATCH($C30,Campaigns!$A$6:$A$45,0))</f>
        <v>0</v>
      </c>
      <c r="Q30" s="7" t="n">
        <f aca="false">INDEX(Campaigns!$X$6:$X$45,MATCH($C30,Campaigns!$A$6:$A$45,0))</f>
        <v>44.99</v>
      </c>
      <c r="R30" s="7" t="n">
        <f aca="false">IF(I30=0,J30,0)</f>
        <v>0</v>
      </c>
      <c r="S30" s="20" t="n">
        <f aca="false">IF(INDEX(Campaigns!$J$6:$J$45,MATCH($C30,Campaigns!$A$6:$A$45,0))="","",INDEX(Campaigns!$J$6:$J$45,MATCH($C30,Campaigns!$A$6:$A$45,0)))</f>
        <v>3</v>
      </c>
      <c r="T30" s="9" t="n">
        <f aca="false">IFERROR(INDEX('Search Terms'!$C$5:$C$137,MATCH($E30,'Search Terms'!$A$5:$A$137,0)),"")</f>
        <v>497</v>
      </c>
      <c r="U30" s="8" t="str">
        <f aca="false">IFERROR(INDEX('Search Terms'!$B$5:$B$137,MATCH($E30,'Search Terms'!$A$5:$A$137,0)),"")</f>
        <v>Relevant</v>
      </c>
      <c r="V30" s="8" t="n">
        <f aca="false">IFERROR(INDEX('Search Terms'!$D$5:$D$137,MATCH($E30,'Search Terms'!$A$5:$A$137,0)),"")</f>
        <v>85</v>
      </c>
      <c r="W30" s="17" t="s">
        <v>139</v>
      </c>
      <c r="X30" s="17" t="s">
        <v>140</v>
      </c>
      <c r="Y30" s="17" t="s">
        <v>141</v>
      </c>
      <c r="Z30" s="8" t="s">
        <v>126</v>
      </c>
      <c r="AA30" s="21"/>
    </row>
    <row r="31" customFormat="false" ht="49.25" hidden="false" customHeight="false" outlineLevel="0" collapsed="false">
      <c r="A31" s="17" t="s">
        <v>94</v>
      </c>
      <c r="B31" s="17" t="s">
        <v>142</v>
      </c>
      <c r="C31" s="18" t="s">
        <v>143</v>
      </c>
      <c r="D31" s="8" t="str">
        <f aca="false">INDEX(Campaigns!$D$6:$D$45,MATCH($C31,Campaigns!$A$6:$A$45,0))</f>
        <v>SP Exact keyword</v>
      </c>
      <c r="E31" s="8" t="s">
        <v>142</v>
      </c>
      <c r="F31" s="8" t="str">
        <f aca="false">INDEX(Campaigns!$H$6:$H$45,MATCH($C31,Campaigns!$A$6:$A$45,0))</f>
        <v>PAUSED</v>
      </c>
      <c r="G31" s="8" t="str">
        <f aca="false">INDEX(Campaigns!$AU$6:$AU$45,MATCH($C31,Campaigns!$A$6:$A$45,0))</f>
        <v>PAUSED</v>
      </c>
      <c r="H31" s="9" t="n">
        <f aca="false">INDEX(Campaigns!$N$6:$N$45,MATCH($C31,Campaigns!$A$6:$A$45,0))</f>
        <v>187</v>
      </c>
      <c r="I31" s="9" t="n">
        <f aca="false">INDEX(Campaigns!$P$6:$P$45,MATCH($C31,Campaigns!$A$6:$A$45,0))</f>
        <v>3</v>
      </c>
      <c r="J31" s="7" t="n">
        <f aca="false">INDEX(Campaigns!$O$6:$O$45,MATCH($C31,Campaigns!$A$6:$A$45,0))</f>
        <v>138.56</v>
      </c>
      <c r="K31" s="10" t="n">
        <f aca="false">INDEX(Campaigns!$U$6:$U$45,MATCH($C31,Campaigns!$A$6:$A$45,0))</f>
        <v>1.55737889176127</v>
      </c>
      <c r="L31" s="7" t="n">
        <f aca="false">INDEX(Campaigns!$T$6:$T$45,MATCH($C31,Campaigns!$A$6:$A$45,0))</f>
        <v>0.74096256684492</v>
      </c>
      <c r="M31" s="9" t="n">
        <f aca="false">INDEX(Campaigns!$AH$6:$AH$45,MATCH($C31,Campaigns!$A$6:$A$45,0))+INDEX(Campaigns!$AJ$6:$AJ$45,MATCH($C31,Campaigns!$A$6:$A$45,0))+INDEX(Campaigns!$AL$6:$AL$45,MATCH($C31,Campaigns!$A$6:$A$45,0))</f>
        <v>185</v>
      </c>
      <c r="N31" s="19" t="n">
        <v>3</v>
      </c>
      <c r="O31" s="9" t="n">
        <f aca="false">INDEX(Campaigns!$W$6:$W$45,MATCH($C31,Campaigns!$A$6:$A$45,0))</f>
        <v>0</v>
      </c>
      <c r="P31" s="9" t="n">
        <f aca="false">INDEX(Campaigns!$Y$6:$Y$45,MATCH($C31,Campaigns!$A$6:$A$45,0))</f>
        <v>0</v>
      </c>
      <c r="Q31" s="7" t="n">
        <f aca="false">INDEX(Campaigns!$X$6:$X$45,MATCH($C31,Campaigns!$A$6:$A$45,0))</f>
        <v>0</v>
      </c>
      <c r="R31" s="7" t="n">
        <f aca="false">IF(I31=0,J31,0)</f>
        <v>0</v>
      </c>
      <c r="S31" s="20" t="str">
        <f aca="false">IF(INDEX(Campaigns!$J$6:$J$45,MATCH($C31,Campaigns!$A$6:$A$45,0))="","",INDEX(Campaigns!$J$6:$J$45,MATCH($C31,Campaigns!$A$6:$A$45,0)))</f>
        <v/>
      </c>
      <c r="T31" s="9" t="n">
        <f aca="false">IFERROR(INDEX('Search Terms'!$C$5:$C$137,MATCH($E31,'Search Terms'!$A$5:$A$137,0)),"")</f>
        <v>4932</v>
      </c>
      <c r="U31" s="8" t="str">
        <f aca="false">IFERROR(INDEX('Search Terms'!$B$5:$B$137,MATCH($E31,'Search Terms'!$A$5:$A$137,0)),"")</f>
        <v>Relevant</v>
      </c>
      <c r="V31" s="8" t="n">
        <f aca="false">IFERROR(INDEX('Search Terms'!$D$5:$D$137,MATCH($E31,'Search Terms'!$A$5:$A$137,0)),"")</f>
        <v>133</v>
      </c>
      <c r="W31" s="17" t="s">
        <v>144</v>
      </c>
      <c r="X31" s="17" t="s">
        <v>145</v>
      </c>
      <c r="Y31" s="17" t="s">
        <v>131</v>
      </c>
      <c r="Z31" s="8" t="s">
        <v>126</v>
      </c>
      <c r="AA31" s="21"/>
    </row>
    <row r="32" customFormat="false" ht="37.3" hidden="false" customHeight="false" outlineLevel="0" collapsed="false">
      <c r="A32" s="17" t="s">
        <v>94</v>
      </c>
      <c r="B32" s="17" t="s">
        <v>146</v>
      </c>
      <c r="C32" s="18" t="s">
        <v>147</v>
      </c>
      <c r="D32" s="8" t="str">
        <f aca="false">INDEX(Campaigns!$D$6:$D$45,MATCH($C32,Campaigns!$A$6:$A$45,0))</f>
        <v>SP Exact keyword</v>
      </c>
      <c r="E32" s="8" t="s">
        <v>146</v>
      </c>
      <c r="F32" s="8" t="str">
        <f aca="false">INDEX(Campaigns!$H$6:$H$45,MATCH($C32,Campaigns!$A$6:$A$45,0))</f>
        <v>PAUSED</v>
      </c>
      <c r="G32" s="8" t="str">
        <f aca="false">INDEX(Campaigns!$AU$6:$AU$45,MATCH($C32,Campaigns!$A$6:$A$45,0))</f>
        <v>PAUSED</v>
      </c>
      <c r="H32" s="9" t="n">
        <f aca="false">INDEX(Campaigns!$N$6:$N$45,MATCH($C32,Campaigns!$A$6:$A$45,0))</f>
        <v>125</v>
      </c>
      <c r="I32" s="9" t="n">
        <f aca="false">INDEX(Campaigns!$P$6:$P$45,MATCH($C32,Campaigns!$A$6:$A$45,0))</f>
        <v>3</v>
      </c>
      <c r="J32" s="7" t="n">
        <f aca="false">INDEX(Campaigns!$O$6:$O$45,MATCH($C32,Campaigns!$A$6:$A$45,0))</f>
        <v>92.74</v>
      </c>
      <c r="K32" s="10" t="n">
        <f aca="false">INDEX(Campaigns!$U$6:$U$45,MATCH($C32,Campaigns!$A$6:$A$45,0))</f>
        <v>1.14536247993084</v>
      </c>
      <c r="L32" s="7" t="n">
        <f aca="false">INDEX(Campaigns!$T$6:$T$45,MATCH($C32,Campaigns!$A$6:$A$45,0))</f>
        <v>0.74192</v>
      </c>
      <c r="M32" s="9" t="n">
        <f aca="false">INDEX(Campaigns!$AH$6:$AH$45,MATCH($C32,Campaigns!$A$6:$A$45,0))+INDEX(Campaigns!$AJ$6:$AJ$45,MATCH($C32,Campaigns!$A$6:$A$45,0))+INDEX(Campaigns!$AL$6:$AL$45,MATCH($C32,Campaigns!$A$6:$A$45,0))</f>
        <v>125</v>
      </c>
      <c r="N32" s="19" t="n">
        <v>3</v>
      </c>
      <c r="O32" s="9" t="n">
        <f aca="false">INDEX(Campaigns!$W$6:$W$45,MATCH($C32,Campaigns!$A$6:$A$45,0))</f>
        <v>0</v>
      </c>
      <c r="P32" s="9" t="n">
        <f aca="false">INDEX(Campaigns!$Y$6:$Y$45,MATCH($C32,Campaigns!$A$6:$A$45,0))</f>
        <v>0</v>
      </c>
      <c r="Q32" s="7" t="n">
        <f aca="false">INDEX(Campaigns!$X$6:$X$45,MATCH($C32,Campaigns!$A$6:$A$45,0))</f>
        <v>0</v>
      </c>
      <c r="R32" s="7" t="n">
        <f aca="false">IF(I32=0,J32,0)</f>
        <v>0</v>
      </c>
      <c r="S32" s="20" t="str">
        <f aca="false">IF(INDEX(Campaigns!$J$6:$J$45,MATCH($C32,Campaigns!$A$6:$A$45,0))="","",INDEX(Campaigns!$J$6:$J$45,MATCH($C32,Campaigns!$A$6:$A$45,0)))</f>
        <v/>
      </c>
      <c r="T32" s="9" t="n">
        <f aca="false">IFERROR(INDEX('Search Terms'!$C$5:$C$137,MATCH($E32,'Search Terms'!$A$5:$A$137,0)),"")</f>
        <v>1229</v>
      </c>
      <c r="U32" s="8" t="str">
        <f aca="false">IFERROR(INDEX('Search Terms'!$B$5:$B$137,MATCH($E32,'Search Terms'!$A$5:$A$137,0)),"")</f>
        <v>Relevant</v>
      </c>
      <c r="V32" s="8" t="n">
        <f aca="false">IFERROR(INDEX('Search Terms'!$D$5:$D$137,MATCH($E32,'Search Terms'!$A$5:$A$137,0)),"")</f>
        <v>94</v>
      </c>
      <c r="W32" s="17" t="s">
        <v>148</v>
      </c>
      <c r="X32" s="17" t="s">
        <v>149</v>
      </c>
      <c r="Y32" s="17" t="s">
        <v>131</v>
      </c>
      <c r="Z32" s="8" t="s">
        <v>126</v>
      </c>
      <c r="AA32" s="21"/>
    </row>
    <row r="33" customFormat="false" ht="73.1" hidden="false" customHeight="false" outlineLevel="0" collapsed="false">
      <c r="A33" s="17" t="s">
        <v>94</v>
      </c>
      <c r="B33" s="17" t="s">
        <v>150</v>
      </c>
      <c r="C33" s="18" t="s">
        <v>151</v>
      </c>
      <c r="D33" s="8" t="str">
        <f aca="false">INDEX(Campaigns!$D$6:$D$45,MATCH($C33,Campaigns!$A$6:$A$45,0))</f>
        <v>SP Exact keyword</v>
      </c>
      <c r="E33" s="8" t="s">
        <v>150</v>
      </c>
      <c r="F33" s="8" t="str">
        <f aca="false">INDEX(Campaigns!$H$6:$H$45,MATCH($C33,Campaigns!$A$6:$A$45,0))</f>
        <v>PAUSED</v>
      </c>
      <c r="G33" s="8" t="str">
        <f aca="false">INDEX(Campaigns!$AU$6:$AU$45,MATCH($C33,Campaigns!$A$6:$A$45,0))</f>
        <v>PAUSED</v>
      </c>
      <c r="H33" s="9" t="n">
        <f aca="false">INDEX(Campaigns!$N$6:$N$45,MATCH($C33,Campaigns!$A$6:$A$45,0))</f>
        <v>44</v>
      </c>
      <c r="I33" s="9" t="n">
        <f aca="false">INDEX(Campaigns!$P$6:$P$45,MATCH($C33,Campaigns!$A$6:$A$45,0))</f>
        <v>0</v>
      </c>
      <c r="J33" s="7" t="n">
        <f aca="false">INDEX(Campaigns!$O$6:$O$45,MATCH($C33,Campaigns!$A$6:$A$45,0))</f>
        <v>42.81</v>
      </c>
      <c r="K33" s="10" t="str">
        <f aca="false">INDEX(Campaigns!$U$6:$U$45,MATCH($C33,Campaigns!$A$6:$A$45,0))</f>
        <v/>
      </c>
      <c r="L33" s="7" t="n">
        <f aca="false">INDEX(Campaigns!$T$6:$T$45,MATCH($C33,Campaigns!$A$6:$A$45,0))</f>
        <v>0.972954545454546</v>
      </c>
      <c r="M33" s="9" t="n">
        <f aca="false">INDEX(Campaigns!$AH$6:$AH$45,MATCH($C33,Campaigns!$A$6:$A$45,0))+INDEX(Campaigns!$AJ$6:$AJ$45,MATCH($C33,Campaigns!$A$6:$A$45,0))+INDEX(Campaigns!$AL$6:$AL$45,MATCH($C33,Campaigns!$A$6:$A$45,0))</f>
        <v>43</v>
      </c>
      <c r="N33" s="19" t="n">
        <v>0</v>
      </c>
      <c r="O33" s="9" t="n">
        <f aca="false">INDEX(Campaigns!$W$6:$W$45,MATCH($C33,Campaigns!$A$6:$A$45,0))</f>
        <v>0</v>
      </c>
      <c r="P33" s="9" t="n">
        <f aca="false">INDEX(Campaigns!$Y$6:$Y$45,MATCH($C33,Campaigns!$A$6:$A$45,0))</f>
        <v>0</v>
      </c>
      <c r="Q33" s="7" t="n">
        <f aca="false">INDEX(Campaigns!$X$6:$X$45,MATCH($C33,Campaigns!$A$6:$A$45,0))</f>
        <v>0</v>
      </c>
      <c r="R33" s="7" t="n">
        <f aca="false">IF(I33=0,J33,0)</f>
        <v>42.81</v>
      </c>
      <c r="S33" s="20" t="str">
        <f aca="false">IF(INDEX(Campaigns!$J$6:$J$45,MATCH($C33,Campaigns!$A$6:$A$45,0))="","",INDEX(Campaigns!$J$6:$J$45,MATCH($C33,Campaigns!$A$6:$A$45,0)))</f>
        <v/>
      </c>
      <c r="T33" s="9" t="n">
        <f aca="false">IFERROR(INDEX('Search Terms'!$C$5:$C$137,MATCH($E33,'Search Terms'!$A$5:$A$137,0)),"")</f>
        <v>9420</v>
      </c>
      <c r="U33" s="8" t="str">
        <f aca="false">IFERROR(INDEX('Search Terms'!$B$5:$B$137,MATCH($E33,'Search Terms'!$A$5:$A$137,0)),"")</f>
        <v>Relevant</v>
      </c>
      <c r="V33" s="8" t="n">
        <f aca="false">IFERROR(INDEX('Search Terms'!$D$5:$D$137,MATCH($E33,'Search Terms'!$A$5:$A$137,0)),"")</f>
        <v>99</v>
      </c>
      <c r="W33" s="17" t="s">
        <v>152</v>
      </c>
      <c r="X33" s="17" t="s">
        <v>153</v>
      </c>
      <c r="Y33" s="17" t="s">
        <v>154</v>
      </c>
      <c r="Z33" s="8" t="s">
        <v>126</v>
      </c>
      <c r="AA33" s="21"/>
    </row>
    <row r="34" customFormat="false" ht="25.35" hidden="false" customHeight="false" outlineLevel="0" collapsed="false">
      <c r="A34" s="17" t="s">
        <v>94</v>
      </c>
      <c r="B34" s="17" t="s">
        <v>155</v>
      </c>
      <c r="C34" s="18" t="s">
        <v>156</v>
      </c>
      <c r="D34" s="8" t="str">
        <f aca="false">INDEX(Campaigns!$D$6:$D$45,MATCH($C34,Campaigns!$A$6:$A$45,0))</f>
        <v>SP Exact keyword</v>
      </c>
      <c r="E34" s="8" t="s">
        <v>155</v>
      </c>
      <c r="F34" s="8" t="str">
        <f aca="false">INDEX(Campaigns!$H$6:$H$45,MATCH($C34,Campaigns!$A$6:$A$45,0))</f>
        <v>PAUSED</v>
      </c>
      <c r="G34" s="8" t="str">
        <f aca="false">INDEX(Campaigns!$AU$6:$AU$45,MATCH($C34,Campaigns!$A$6:$A$45,0))</f>
        <v>PAUSED</v>
      </c>
      <c r="H34" s="9" t="n">
        <f aca="false">INDEX(Campaigns!$N$6:$N$45,MATCH($C34,Campaigns!$A$6:$A$45,0))</f>
        <v>35</v>
      </c>
      <c r="I34" s="9" t="n">
        <f aca="false">INDEX(Campaigns!$P$6:$P$45,MATCH($C34,Campaigns!$A$6:$A$45,0))</f>
        <v>1</v>
      </c>
      <c r="J34" s="7" t="n">
        <f aca="false">INDEX(Campaigns!$O$6:$O$45,MATCH($C34,Campaigns!$A$6:$A$45,0))</f>
        <v>36.98</v>
      </c>
      <c r="K34" s="10" t="n">
        <f aca="false">INDEX(Campaigns!$U$6:$U$45,MATCH($C34,Campaigns!$A$6:$A$45,0))</f>
        <v>1.05687339239783</v>
      </c>
      <c r="L34" s="7" t="n">
        <f aca="false">INDEX(Campaigns!$T$6:$T$45,MATCH($C34,Campaigns!$A$6:$A$45,0))</f>
        <v>1.05657142857143</v>
      </c>
      <c r="M34" s="9" t="n">
        <f aca="false">INDEX(Campaigns!$AH$6:$AH$45,MATCH($C34,Campaigns!$A$6:$A$45,0))+INDEX(Campaigns!$AJ$6:$AJ$45,MATCH($C34,Campaigns!$A$6:$A$45,0))+INDEX(Campaigns!$AL$6:$AL$45,MATCH($C34,Campaigns!$A$6:$A$45,0))</f>
        <v>35</v>
      </c>
      <c r="N34" s="19" t="n">
        <v>1</v>
      </c>
      <c r="O34" s="9" t="n">
        <f aca="false">INDEX(Campaigns!$W$6:$W$45,MATCH($C34,Campaigns!$A$6:$A$45,0))</f>
        <v>0</v>
      </c>
      <c r="P34" s="9" t="n">
        <f aca="false">INDEX(Campaigns!$Y$6:$Y$45,MATCH($C34,Campaigns!$A$6:$A$45,0))</f>
        <v>0</v>
      </c>
      <c r="Q34" s="7" t="n">
        <f aca="false">INDEX(Campaigns!$X$6:$X$45,MATCH($C34,Campaigns!$A$6:$A$45,0))</f>
        <v>0</v>
      </c>
      <c r="R34" s="7" t="n">
        <f aca="false">IF(I34=0,J34,0)</f>
        <v>0</v>
      </c>
      <c r="S34" s="20" t="str">
        <f aca="false">IF(INDEX(Campaigns!$J$6:$J$45,MATCH($C34,Campaigns!$A$6:$A$45,0))="","",INDEX(Campaigns!$J$6:$J$45,MATCH($C34,Campaigns!$A$6:$A$45,0)))</f>
        <v/>
      </c>
      <c r="T34" s="9" t="n">
        <f aca="false">IFERROR(INDEX('Search Terms'!$C$5:$C$137,MATCH($E34,'Search Terms'!$A$5:$A$137,0)),"")</f>
        <v>365</v>
      </c>
      <c r="U34" s="8" t="str">
        <f aca="false">IFERROR(INDEX('Search Terms'!$B$5:$B$137,MATCH($E34,'Search Terms'!$A$5:$A$137,0)),"")</f>
        <v>Highly Relevant</v>
      </c>
      <c r="V34" s="8" t="n">
        <f aca="false">IFERROR(INDEX('Search Terms'!$D$5:$D$137,MATCH($E34,'Search Terms'!$A$5:$A$137,0)),"")</f>
        <v>55</v>
      </c>
      <c r="W34" s="17" t="s">
        <v>144</v>
      </c>
      <c r="X34" s="17" t="s">
        <v>157</v>
      </c>
      <c r="Y34" s="17" t="s">
        <v>158</v>
      </c>
      <c r="Z34" s="8" t="s">
        <v>126</v>
      </c>
      <c r="AA34" s="21"/>
    </row>
    <row r="35" customFormat="false" ht="37.3" hidden="false" customHeight="false" outlineLevel="0" collapsed="false">
      <c r="A35" s="17" t="s">
        <v>94</v>
      </c>
      <c r="B35" s="17" t="s">
        <v>159</v>
      </c>
      <c r="C35" s="18" t="s">
        <v>160</v>
      </c>
      <c r="D35" s="8" t="str">
        <f aca="false">INDEX(Campaigns!$D$6:$D$45,MATCH($C35,Campaigns!$A$6:$A$45,0))</f>
        <v>SP Exact keyword</v>
      </c>
      <c r="E35" s="8" t="s">
        <v>159</v>
      </c>
      <c r="F35" s="8" t="str">
        <f aca="false">INDEX(Campaigns!$H$6:$H$45,MATCH($C35,Campaigns!$A$6:$A$45,0))</f>
        <v>ENABLED</v>
      </c>
      <c r="G35" s="8" t="str">
        <f aca="false">INDEX(Campaigns!$AU$6:$AU$45,MATCH($C35,Campaigns!$A$6:$A$45,0))</f>
        <v>PAUSED</v>
      </c>
      <c r="H35" s="9" t="n">
        <f aca="false">INDEX(Campaigns!$N$6:$N$45,MATCH($C35,Campaigns!$A$6:$A$45,0))</f>
        <v>7</v>
      </c>
      <c r="I35" s="9" t="n">
        <f aca="false">INDEX(Campaigns!$P$6:$P$45,MATCH($C35,Campaigns!$A$6:$A$45,0))</f>
        <v>1</v>
      </c>
      <c r="J35" s="7" t="n">
        <f aca="false">INDEX(Campaigns!$O$6:$O$45,MATCH($C35,Campaigns!$A$6:$A$45,0))</f>
        <v>10.7</v>
      </c>
      <c r="K35" s="10" t="n">
        <f aca="false">INDEX(Campaigns!$U$6:$U$45,MATCH($C35,Campaigns!$A$6:$A$45,0))</f>
        <v>0.305801657616462</v>
      </c>
      <c r="L35" s="7" t="n">
        <f aca="false">INDEX(Campaigns!$T$6:$T$45,MATCH($C35,Campaigns!$A$6:$A$45,0))</f>
        <v>1.52857142857143</v>
      </c>
      <c r="M35" s="9" t="n">
        <f aca="false">INDEX(Campaigns!$AH$6:$AH$45,MATCH($C35,Campaigns!$A$6:$A$45,0))+INDEX(Campaigns!$AJ$6:$AJ$45,MATCH($C35,Campaigns!$A$6:$A$45,0))+INDEX(Campaigns!$AL$6:$AL$45,MATCH($C35,Campaigns!$A$6:$A$45,0))</f>
        <v>7</v>
      </c>
      <c r="N35" s="19" t="n">
        <v>1</v>
      </c>
      <c r="O35" s="9" t="n">
        <f aca="false">INDEX(Campaigns!$W$6:$W$45,MATCH($C35,Campaigns!$A$6:$A$45,0))</f>
        <v>4</v>
      </c>
      <c r="P35" s="9" t="n">
        <f aca="false">INDEX(Campaigns!$Y$6:$Y$45,MATCH($C35,Campaigns!$A$6:$A$45,0))</f>
        <v>0</v>
      </c>
      <c r="Q35" s="7" t="n">
        <f aca="false">INDEX(Campaigns!$X$6:$X$45,MATCH($C35,Campaigns!$A$6:$A$45,0))</f>
        <v>6.92</v>
      </c>
      <c r="R35" s="7" t="n">
        <f aca="false">IF(I35=0,J35,0)</f>
        <v>0</v>
      </c>
      <c r="S35" s="20" t="n">
        <f aca="false">IF(INDEX(Campaigns!$J$6:$J$45,MATCH($C35,Campaigns!$A$6:$A$45,0))="","",INDEX(Campaigns!$J$6:$J$45,MATCH($C35,Campaigns!$A$6:$A$45,0)))</f>
        <v>3</v>
      </c>
      <c r="T35" s="9" t="n">
        <f aca="false">IFERROR(INDEX('Search Terms'!$C$5:$C$137,MATCH($E35,'Search Terms'!$A$5:$A$137,0)),"")</f>
        <v>33</v>
      </c>
      <c r="U35" s="8" t="str">
        <f aca="false">IFERROR(INDEX('Search Terms'!$B$5:$B$137,MATCH($E35,'Search Terms'!$A$5:$A$137,0)),"")</f>
        <v>Lower Relevant</v>
      </c>
      <c r="V35" s="8" t="n">
        <f aca="false">IFERROR(INDEX('Search Terms'!$D$5:$D$137,MATCH($E35,'Search Terms'!$A$5:$A$137,0)),"")</f>
        <v>39</v>
      </c>
      <c r="W35" s="17" t="s">
        <v>139</v>
      </c>
      <c r="X35" s="17" t="s">
        <v>161</v>
      </c>
      <c r="Y35" s="17" t="s">
        <v>162</v>
      </c>
      <c r="Z35" s="8" t="s">
        <v>126</v>
      </c>
      <c r="AA35" s="21"/>
    </row>
    <row r="36" customFormat="false" ht="49.25" hidden="false" customHeight="false" outlineLevel="0" collapsed="false">
      <c r="A36" s="17" t="s">
        <v>95</v>
      </c>
      <c r="B36" s="17" t="s">
        <v>163</v>
      </c>
      <c r="C36" s="18" t="s">
        <v>164</v>
      </c>
      <c r="D36" s="8" t="str">
        <f aca="false">INDEX(Campaigns!$D$6:$D$45,MATCH($C36,Campaigns!$A$6:$A$45,0))</f>
        <v>SP Exact keyword</v>
      </c>
      <c r="E36" s="8" t="s">
        <v>163</v>
      </c>
      <c r="F36" s="8" t="str">
        <f aca="false">INDEX(Campaigns!$H$6:$H$45,MATCH($C36,Campaigns!$A$6:$A$45,0))</f>
        <v>ENABLED</v>
      </c>
      <c r="G36" s="8" t="str">
        <f aca="false">INDEX(Campaigns!$AU$6:$AU$45,MATCH($C36,Campaigns!$A$6:$A$45,0))</f>
        <v>PAUSED</v>
      </c>
      <c r="H36" s="9" t="n">
        <f aca="false">INDEX(Campaigns!$N$6:$N$45,MATCH($C36,Campaigns!$A$6:$A$45,0))</f>
        <v>1063</v>
      </c>
      <c r="I36" s="9" t="n">
        <f aca="false">INDEX(Campaigns!$P$6:$P$45,MATCH($C36,Campaigns!$A$6:$A$45,0))</f>
        <v>9</v>
      </c>
      <c r="J36" s="7" t="n">
        <f aca="false">INDEX(Campaigns!$O$6:$O$45,MATCH($C36,Campaigns!$A$6:$A$45,0))</f>
        <v>239.23</v>
      </c>
      <c r="K36" s="10" t="n">
        <f aca="false">INDEX(Campaigns!$U$6:$U$45,MATCH($C36,Campaigns!$A$6:$A$45,0))</f>
        <v>0.845604609239687</v>
      </c>
      <c r="L36" s="7" t="n">
        <f aca="false">INDEX(Campaigns!$T$6:$T$45,MATCH($C36,Campaigns!$A$6:$A$45,0))</f>
        <v>0.225051740357479</v>
      </c>
      <c r="M36" s="9" t="n">
        <f aca="false">INDEX(Campaigns!$AH$6:$AH$45,MATCH($C36,Campaigns!$A$6:$A$45,0))+INDEX(Campaigns!$AJ$6:$AJ$45,MATCH($C36,Campaigns!$A$6:$A$45,0))+INDEX(Campaigns!$AL$6:$AL$45,MATCH($C36,Campaigns!$A$6:$A$45,0))</f>
        <v>36</v>
      </c>
      <c r="N36" s="19" t="n">
        <v>0</v>
      </c>
      <c r="O36" s="9" t="n">
        <f aca="false">INDEX(Campaigns!$W$6:$W$45,MATCH($C36,Campaigns!$A$6:$A$45,0))</f>
        <v>28</v>
      </c>
      <c r="P36" s="9" t="n">
        <f aca="false">INDEX(Campaigns!$Y$6:$Y$45,MATCH($C36,Campaigns!$A$6:$A$45,0))</f>
        <v>0</v>
      </c>
      <c r="Q36" s="7" t="n">
        <f aca="false">INDEX(Campaigns!$X$6:$X$45,MATCH($C36,Campaigns!$A$6:$A$45,0))</f>
        <v>34.14</v>
      </c>
      <c r="R36" s="7" t="n">
        <f aca="false">IF(I36=0,J36,0)</f>
        <v>0</v>
      </c>
      <c r="S36" s="20" t="n">
        <f aca="false">IF(INDEX(Campaigns!$J$6:$J$45,MATCH($C36,Campaigns!$A$6:$A$45,0))="","",INDEX(Campaigns!$J$6:$J$45,MATCH($C36,Campaigns!$A$6:$A$45,0)))</f>
        <v>4.13</v>
      </c>
      <c r="T36" s="9" t="n">
        <f aca="false">IFERROR(INDEX('Search Terms'!$C$5:$C$137,MATCH($E36,'Search Terms'!$A$5:$A$137,0)),"")</f>
        <v>94</v>
      </c>
      <c r="U36" s="8" t="str">
        <f aca="false">IFERROR(INDEX('Search Terms'!$B$5:$B$137,MATCH($E36,'Search Terms'!$A$5:$A$137,0)),"")</f>
        <v>Lower Relevant</v>
      </c>
      <c r="V36" s="8" t="n">
        <f aca="false">IFERROR(INDEX('Search Terms'!$D$5:$D$137,MATCH($E36,'Search Terms'!$A$5:$A$137,0)),"")</f>
        <v>113</v>
      </c>
      <c r="W36" s="17" t="s">
        <v>165</v>
      </c>
      <c r="X36" s="17" t="s">
        <v>166</v>
      </c>
      <c r="Y36" s="17" t="s">
        <v>167</v>
      </c>
      <c r="Z36" s="8" t="s">
        <v>126</v>
      </c>
      <c r="AA36" s="21"/>
    </row>
    <row r="37" customFormat="false" ht="49.25" hidden="false" customHeight="false" outlineLevel="0" collapsed="false">
      <c r="A37" s="17" t="s">
        <v>95</v>
      </c>
      <c r="B37" s="17" t="s">
        <v>168</v>
      </c>
      <c r="C37" s="18" t="s">
        <v>169</v>
      </c>
      <c r="D37" s="8" t="str">
        <f aca="false">INDEX(Campaigns!$D$6:$D$45,MATCH($C37,Campaigns!$A$6:$A$45,0))</f>
        <v>SP Product targeting</v>
      </c>
      <c r="E37" s="8" t="s">
        <v>170</v>
      </c>
      <c r="F37" s="8" t="str">
        <f aca="false">INDEX(Campaigns!$H$6:$H$45,MATCH($C37,Campaigns!$A$6:$A$45,0))</f>
        <v>ENABLED</v>
      </c>
      <c r="G37" s="8" t="str">
        <f aca="false">INDEX(Campaigns!$AU$6:$AU$45,MATCH($C37,Campaigns!$A$6:$A$45,0))</f>
        <v>PAUSED</v>
      </c>
      <c r="H37" s="9" t="n">
        <f aca="false">INDEX(Campaigns!$N$6:$N$45,MATCH($C37,Campaigns!$A$6:$A$45,0))</f>
        <v>67</v>
      </c>
      <c r="I37" s="9" t="n">
        <f aca="false">INDEX(Campaigns!$P$6:$P$45,MATCH($C37,Campaigns!$A$6:$A$45,0))</f>
        <v>1</v>
      </c>
      <c r="J37" s="7" t="n">
        <f aca="false">INDEX(Campaigns!$O$6:$O$45,MATCH($C37,Campaigns!$A$6:$A$45,0))</f>
        <v>103.08</v>
      </c>
      <c r="K37" s="10" t="n">
        <f aca="false">INDEX(Campaigns!$U$6:$U$45,MATCH($C37,Campaigns!$A$6:$A$45,0))</f>
        <v>2.94598456701915</v>
      </c>
      <c r="L37" s="7" t="n">
        <f aca="false">INDEX(Campaigns!$T$6:$T$45,MATCH($C37,Campaigns!$A$6:$A$45,0))</f>
        <v>1.53850746268657</v>
      </c>
      <c r="M37" s="9" t="n">
        <f aca="false">INDEX(Campaigns!$AH$6:$AH$45,MATCH($C37,Campaigns!$A$6:$A$45,0))+INDEX(Campaigns!$AJ$6:$AJ$45,MATCH($C37,Campaigns!$A$6:$A$45,0))+INDEX(Campaigns!$AL$6:$AL$45,MATCH($C37,Campaigns!$A$6:$A$45,0))</f>
        <v>67</v>
      </c>
      <c r="N37" s="19" t="n">
        <v>1</v>
      </c>
      <c r="O37" s="9" t="n">
        <f aca="false">INDEX(Campaigns!$W$6:$W$45,MATCH($C37,Campaigns!$A$6:$A$45,0))</f>
        <v>66</v>
      </c>
      <c r="P37" s="9" t="n">
        <f aca="false">INDEX(Campaigns!$Y$6:$Y$45,MATCH($C37,Campaigns!$A$6:$A$45,0))</f>
        <v>1</v>
      </c>
      <c r="Q37" s="7" t="n">
        <f aca="false">INDEX(Campaigns!$X$6:$X$45,MATCH($C37,Campaigns!$A$6:$A$45,0))</f>
        <v>102.49</v>
      </c>
      <c r="R37" s="7" t="n">
        <f aca="false">IF(I37=0,J37,0)</f>
        <v>0</v>
      </c>
      <c r="S37" s="20" t="n">
        <f aca="false">IF(INDEX(Campaigns!$J$6:$J$45,MATCH($C37,Campaigns!$A$6:$A$45,0))="","",INDEX(Campaigns!$J$6:$J$45,MATCH($C37,Campaigns!$A$6:$A$45,0)))</f>
        <v>2.8</v>
      </c>
      <c r="T37" s="9" t="n">
        <f aca="false">IFERROR(INDEX('Search Terms'!$C$5:$C$137,MATCH($E37,'Search Terms'!$A$5:$A$137,0)),"")</f>
        <v>0</v>
      </c>
      <c r="U37" s="8" t="str">
        <f aca="false">IFERROR(INDEX('Search Terms'!$B$5:$B$137,MATCH($E37,'Search Terms'!$A$5:$A$137,0)),"")</f>
        <v>Not Relevant</v>
      </c>
      <c r="V37" s="8" t="n">
        <f aca="false">IFERROR(INDEX('Search Terms'!$D$5:$D$137,MATCH($E37,'Search Terms'!$A$5:$A$137,0)),"")</f>
        <v>0</v>
      </c>
      <c r="W37" s="17" t="s">
        <v>171</v>
      </c>
      <c r="X37" s="17" t="s">
        <v>172</v>
      </c>
      <c r="Y37" s="17" t="s">
        <v>173</v>
      </c>
      <c r="Z37" s="8" t="s">
        <v>126</v>
      </c>
      <c r="AA37" s="21"/>
    </row>
    <row r="38" customFormat="false" ht="25.35" hidden="false" customHeight="false" outlineLevel="0" collapsed="false">
      <c r="A38" s="17" t="s">
        <v>95</v>
      </c>
      <c r="B38" s="17" t="s">
        <v>174</v>
      </c>
      <c r="C38" s="18" t="s">
        <v>175</v>
      </c>
      <c r="D38" s="8" t="str">
        <f aca="false">INDEX(Campaigns!$D$6:$D$45,MATCH($C38,Campaigns!$A$6:$A$45,0))</f>
        <v>SP Exact keyword</v>
      </c>
      <c r="E38" s="8" t="s">
        <v>174</v>
      </c>
      <c r="F38" s="8" t="str">
        <f aca="false">INDEX(Campaigns!$H$6:$H$45,MATCH($C38,Campaigns!$A$6:$A$45,0))</f>
        <v>PAUSED</v>
      </c>
      <c r="G38" s="8" t="str">
        <f aca="false">INDEX(Campaigns!$AU$6:$AU$45,MATCH($C38,Campaigns!$A$6:$A$45,0))</f>
        <v>PAUSED</v>
      </c>
      <c r="H38" s="9" t="n">
        <f aca="false">INDEX(Campaigns!$N$6:$N$45,MATCH($C38,Campaigns!$A$6:$A$45,0))</f>
        <v>77</v>
      </c>
      <c r="I38" s="9" t="n">
        <f aca="false">INDEX(Campaigns!$P$6:$P$45,MATCH($C38,Campaigns!$A$6:$A$45,0))</f>
        <v>1</v>
      </c>
      <c r="J38" s="7" t="n">
        <f aca="false">INDEX(Campaigns!$O$6:$O$45,MATCH($C38,Campaigns!$A$6:$A$45,0))</f>
        <v>62.97</v>
      </c>
      <c r="K38" s="10" t="n">
        <f aca="false">INDEX(Campaigns!$U$6:$U$45,MATCH($C38,Campaigns!$A$6:$A$45,0))</f>
        <v>2.33308632826973</v>
      </c>
      <c r="L38" s="7" t="n">
        <f aca="false">INDEX(Campaigns!$T$6:$T$45,MATCH($C38,Campaigns!$A$6:$A$45,0))</f>
        <v>0.817792207792208</v>
      </c>
      <c r="M38" s="9" t="n">
        <f aca="false">INDEX(Campaigns!$AH$6:$AH$45,MATCH($C38,Campaigns!$A$6:$A$45,0))+INDEX(Campaigns!$AJ$6:$AJ$45,MATCH($C38,Campaigns!$A$6:$A$45,0))+INDEX(Campaigns!$AL$6:$AL$45,MATCH($C38,Campaigns!$A$6:$A$45,0))</f>
        <v>62</v>
      </c>
      <c r="N38" s="19" t="n">
        <v>1</v>
      </c>
      <c r="O38" s="9" t="n">
        <f aca="false">INDEX(Campaigns!$W$6:$W$45,MATCH($C38,Campaigns!$A$6:$A$45,0))</f>
        <v>0</v>
      </c>
      <c r="P38" s="9" t="n">
        <f aca="false">INDEX(Campaigns!$Y$6:$Y$45,MATCH($C38,Campaigns!$A$6:$A$45,0))</f>
        <v>0</v>
      </c>
      <c r="Q38" s="7" t="n">
        <f aca="false">INDEX(Campaigns!$X$6:$X$45,MATCH($C38,Campaigns!$A$6:$A$45,0))</f>
        <v>0</v>
      </c>
      <c r="R38" s="7" t="n">
        <f aca="false">IF(I38=0,J38,0)</f>
        <v>0</v>
      </c>
      <c r="S38" s="20" t="str">
        <f aca="false">IF(INDEX(Campaigns!$J$6:$J$45,MATCH($C38,Campaigns!$A$6:$A$45,0))="","",INDEX(Campaigns!$J$6:$J$45,MATCH($C38,Campaigns!$A$6:$A$45,0)))</f>
        <v/>
      </c>
      <c r="T38" s="9" t="n">
        <f aca="false">IFERROR(INDEX('Search Terms'!$C$5:$C$137,MATCH($E38,'Search Terms'!$A$5:$A$137,0)),"")</f>
        <v>122</v>
      </c>
      <c r="U38" s="8" t="str">
        <f aca="false">IFERROR(INDEX('Search Terms'!$B$5:$B$137,MATCH($E38,'Search Terms'!$A$5:$A$137,0)),"")</f>
        <v>Relevant</v>
      </c>
      <c r="V38" s="8" t="n">
        <f aca="false">IFERROR(INDEX('Search Terms'!$D$5:$D$137,MATCH($E38,'Search Terms'!$A$5:$A$137,0)),"")</f>
        <v>11</v>
      </c>
      <c r="W38" s="17" t="s">
        <v>176</v>
      </c>
      <c r="X38" s="17" t="s">
        <v>177</v>
      </c>
      <c r="Y38" s="17" t="s">
        <v>178</v>
      </c>
      <c r="Z38" s="8" t="s">
        <v>126</v>
      </c>
      <c r="AA38" s="21"/>
    </row>
    <row r="39" customFormat="false" ht="25.35" hidden="false" customHeight="false" outlineLevel="0" collapsed="false">
      <c r="A39" s="17" t="s">
        <v>95</v>
      </c>
      <c r="B39" s="17" t="s">
        <v>179</v>
      </c>
      <c r="C39" s="18" t="s">
        <v>180</v>
      </c>
      <c r="D39" s="8" t="str">
        <f aca="false">INDEX(Campaigns!$D$6:$D$45,MATCH($C39,Campaigns!$A$6:$A$45,0))</f>
        <v>SP Exact keyword</v>
      </c>
      <c r="E39" s="8" t="s">
        <v>179</v>
      </c>
      <c r="F39" s="8" t="str">
        <f aca="false">INDEX(Campaigns!$H$6:$H$45,MATCH($C39,Campaigns!$A$6:$A$45,0))</f>
        <v>PAUSED</v>
      </c>
      <c r="G39" s="8" t="str">
        <f aca="false">INDEX(Campaigns!$AU$6:$AU$45,MATCH($C39,Campaigns!$A$6:$A$45,0))</f>
        <v>PAUSED</v>
      </c>
      <c r="H39" s="9" t="n">
        <f aca="false">INDEX(Campaigns!$N$6:$N$45,MATCH($C39,Campaigns!$A$6:$A$45,0))</f>
        <v>38</v>
      </c>
      <c r="I39" s="9" t="n">
        <f aca="false">INDEX(Campaigns!$P$6:$P$45,MATCH($C39,Campaigns!$A$6:$A$45,0))</f>
        <v>1</v>
      </c>
      <c r="J39" s="7" t="n">
        <f aca="false">INDEX(Campaigns!$O$6:$O$45,MATCH($C39,Campaigns!$A$6:$A$45,0))</f>
        <v>32.9</v>
      </c>
      <c r="K39" s="10" t="n">
        <f aca="false">INDEX(Campaigns!$U$6:$U$45,MATCH($C39,Campaigns!$A$6:$A$45,0))</f>
        <v>0.940268648185196</v>
      </c>
      <c r="L39" s="7" t="n">
        <f aca="false">INDEX(Campaigns!$T$6:$T$45,MATCH($C39,Campaigns!$A$6:$A$45,0))</f>
        <v>0.86578947368421</v>
      </c>
      <c r="M39" s="9" t="n">
        <f aca="false">INDEX(Campaigns!$AH$6:$AH$45,MATCH($C39,Campaigns!$A$6:$A$45,0))+INDEX(Campaigns!$AJ$6:$AJ$45,MATCH($C39,Campaigns!$A$6:$A$45,0))+INDEX(Campaigns!$AL$6:$AL$45,MATCH($C39,Campaigns!$A$6:$A$45,0))</f>
        <v>26</v>
      </c>
      <c r="N39" s="19" t="n">
        <v>1</v>
      </c>
      <c r="O39" s="9" t="n">
        <f aca="false">INDEX(Campaigns!$W$6:$W$45,MATCH($C39,Campaigns!$A$6:$A$45,0))</f>
        <v>1</v>
      </c>
      <c r="P39" s="9" t="n">
        <f aca="false">INDEX(Campaigns!$Y$6:$Y$45,MATCH($C39,Campaigns!$A$6:$A$45,0))</f>
        <v>0</v>
      </c>
      <c r="Q39" s="7" t="n">
        <f aca="false">INDEX(Campaigns!$X$6:$X$45,MATCH($C39,Campaigns!$A$6:$A$45,0))</f>
        <v>1.16</v>
      </c>
      <c r="R39" s="7" t="n">
        <f aca="false">IF(I39=0,J39,0)</f>
        <v>0</v>
      </c>
      <c r="S39" s="20" t="str">
        <f aca="false">IF(INDEX(Campaigns!$J$6:$J$45,MATCH($C39,Campaigns!$A$6:$A$45,0))="","",INDEX(Campaigns!$J$6:$J$45,MATCH($C39,Campaigns!$A$6:$A$45,0)))</f>
        <v/>
      </c>
      <c r="T39" s="9" t="n">
        <f aca="false">IFERROR(INDEX('Search Terms'!$C$5:$C$137,MATCH($E39,'Search Terms'!$A$5:$A$137,0)),"")</f>
        <v>249</v>
      </c>
      <c r="U39" s="8" t="str">
        <f aca="false">IFERROR(INDEX('Search Terms'!$B$5:$B$137,MATCH($E39,'Search Terms'!$A$5:$A$137,0)),"")</f>
        <v>Relevant</v>
      </c>
      <c r="V39" s="8" t="n">
        <f aca="false">IFERROR(INDEX('Search Terms'!$D$5:$D$137,MATCH($E39,'Search Terms'!$A$5:$A$137,0)),"")</f>
        <v>76</v>
      </c>
      <c r="W39" s="17" t="s">
        <v>176</v>
      </c>
      <c r="X39" s="17" t="s">
        <v>181</v>
      </c>
      <c r="Y39" s="17" t="s">
        <v>182</v>
      </c>
      <c r="Z39" s="8" t="s">
        <v>126</v>
      </c>
      <c r="AA39" s="21"/>
    </row>
    <row r="40" customFormat="false" ht="25.35" hidden="false" customHeight="false" outlineLevel="0" collapsed="false">
      <c r="A40" s="17" t="s">
        <v>95</v>
      </c>
      <c r="B40" s="17" t="s">
        <v>183</v>
      </c>
      <c r="C40" s="18" t="s">
        <v>184</v>
      </c>
      <c r="D40" s="8" t="str">
        <f aca="false">INDEX(Campaigns!$D$6:$D$45,MATCH($C40,Campaigns!$A$6:$A$45,0))</f>
        <v>SP Exact keyword</v>
      </c>
      <c r="E40" s="8" t="s">
        <v>183</v>
      </c>
      <c r="F40" s="8" t="str">
        <f aca="false">INDEX(Campaigns!$H$6:$H$45,MATCH($C40,Campaigns!$A$6:$A$45,0))</f>
        <v>ENABLED</v>
      </c>
      <c r="G40" s="8" t="str">
        <f aca="false">INDEX(Campaigns!$AU$6:$AU$45,MATCH($C40,Campaigns!$A$6:$A$45,0))</f>
        <v>PAUSED</v>
      </c>
      <c r="H40" s="9" t="n">
        <f aca="false">INDEX(Campaigns!$N$6:$N$45,MATCH($C40,Campaigns!$A$6:$A$45,0))</f>
        <v>11</v>
      </c>
      <c r="I40" s="9" t="n">
        <f aca="false">INDEX(Campaigns!$P$6:$P$45,MATCH($C40,Campaigns!$A$6:$A$45,0))</f>
        <v>0</v>
      </c>
      <c r="J40" s="7" t="n">
        <f aca="false">INDEX(Campaigns!$O$6:$O$45,MATCH($C40,Campaigns!$A$6:$A$45,0))</f>
        <v>20.64</v>
      </c>
      <c r="K40" s="10" t="str">
        <f aca="false">INDEX(Campaigns!$U$6:$U$45,MATCH($C40,Campaigns!$A$6:$A$45,0))</f>
        <v/>
      </c>
      <c r="L40" s="7" t="n">
        <f aca="false">INDEX(Campaigns!$T$6:$T$45,MATCH($C40,Campaigns!$A$6:$A$45,0))</f>
        <v>1.87636363636364</v>
      </c>
      <c r="M40" s="9" t="n">
        <f aca="false">INDEX(Campaigns!$AH$6:$AH$45,MATCH($C40,Campaigns!$A$6:$A$45,0))+INDEX(Campaigns!$AJ$6:$AJ$45,MATCH($C40,Campaigns!$A$6:$A$45,0))+INDEX(Campaigns!$AL$6:$AL$45,MATCH($C40,Campaigns!$A$6:$A$45,0))</f>
        <v>11</v>
      </c>
      <c r="N40" s="19" t="n">
        <v>0</v>
      </c>
      <c r="O40" s="9" t="n">
        <f aca="false">INDEX(Campaigns!$W$6:$W$45,MATCH($C40,Campaigns!$A$6:$A$45,0))</f>
        <v>4</v>
      </c>
      <c r="P40" s="9" t="n">
        <f aca="false">INDEX(Campaigns!$Y$6:$Y$45,MATCH($C40,Campaigns!$A$6:$A$45,0))</f>
        <v>0</v>
      </c>
      <c r="Q40" s="7" t="n">
        <f aca="false">INDEX(Campaigns!$X$6:$X$45,MATCH($C40,Campaigns!$A$6:$A$45,0))</f>
        <v>11.4</v>
      </c>
      <c r="R40" s="7" t="n">
        <f aca="false">IF(I40=0,J40,0)</f>
        <v>20.64</v>
      </c>
      <c r="S40" s="20" t="n">
        <f aca="false">IF(INDEX(Campaigns!$J$6:$J$45,MATCH($C40,Campaigns!$A$6:$A$45,0))="","",INDEX(Campaigns!$J$6:$J$45,MATCH($C40,Campaigns!$A$6:$A$45,0)))</f>
        <v>3.6</v>
      </c>
      <c r="T40" s="9" t="n">
        <f aca="false">IFERROR(INDEX('Search Terms'!$C$5:$C$137,MATCH($E40,'Search Terms'!$A$5:$A$137,0)),"")</f>
        <v>49</v>
      </c>
      <c r="U40" s="8" t="str">
        <f aca="false">IFERROR(INDEX('Search Terms'!$B$5:$B$137,MATCH($E40,'Search Terms'!$A$5:$A$137,0)),"")</f>
        <v>Relevant</v>
      </c>
      <c r="V40" s="8" t="n">
        <f aca="false">IFERROR(INDEX('Search Terms'!$D$5:$D$137,MATCH($E40,'Search Terms'!$A$5:$A$137,0)),"")</f>
        <v>140</v>
      </c>
      <c r="W40" s="17" t="s">
        <v>185</v>
      </c>
      <c r="X40" s="17" t="s">
        <v>186</v>
      </c>
      <c r="Y40" s="17" t="s">
        <v>187</v>
      </c>
      <c r="Z40" s="8" t="s">
        <v>126</v>
      </c>
      <c r="AA40" s="21"/>
    </row>
    <row r="41" customFormat="false" ht="25.35" hidden="false" customHeight="false" outlineLevel="0" collapsed="false">
      <c r="A41" s="17" t="s">
        <v>95</v>
      </c>
      <c r="B41" s="17" t="s">
        <v>188</v>
      </c>
      <c r="C41" s="18" t="s">
        <v>189</v>
      </c>
      <c r="D41" s="8" t="str">
        <f aca="false">INDEX(Campaigns!$D$6:$D$45,MATCH($C41,Campaigns!$A$6:$A$45,0))</f>
        <v>SP Exact keyword</v>
      </c>
      <c r="E41" s="8" t="s">
        <v>188</v>
      </c>
      <c r="F41" s="8" t="str">
        <f aca="false">INDEX(Campaigns!$H$6:$H$45,MATCH($C41,Campaigns!$A$6:$A$45,0))</f>
        <v>ENABLED</v>
      </c>
      <c r="G41" s="8" t="str">
        <f aca="false">INDEX(Campaigns!$AU$6:$AU$45,MATCH($C41,Campaigns!$A$6:$A$45,0))</f>
        <v>PAUSED</v>
      </c>
      <c r="H41" s="9" t="n">
        <f aca="false">INDEX(Campaigns!$N$6:$N$45,MATCH($C41,Campaigns!$A$6:$A$45,0))</f>
        <v>2</v>
      </c>
      <c r="I41" s="9" t="n">
        <f aca="false">INDEX(Campaigns!$P$6:$P$45,MATCH($C41,Campaigns!$A$6:$A$45,0))</f>
        <v>0</v>
      </c>
      <c r="J41" s="7" t="n">
        <f aca="false">INDEX(Campaigns!$O$6:$O$45,MATCH($C41,Campaigns!$A$6:$A$45,0))</f>
        <v>2.26</v>
      </c>
      <c r="K41" s="10" t="str">
        <f aca="false">INDEX(Campaigns!$U$6:$U$45,MATCH($C41,Campaigns!$A$6:$A$45,0))</f>
        <v/>
      </c>
      <c r="L41" s="7" t="n">
        <f aca="false">INDEX(Campaigns!$T$6:$T$45,MATCH($C41,Campaigns!$A$6:$A$45,0))</f>
        <v>1.13</v>
      </c>
      <c r="M41" s="9" t="n">
        <f aca="false">INDEX(Campaigns!$AH$6:$AH$45,MATCH($C41,Campaigns!$A$6:$A$45,0))+INDEX(Campaigns!$AJ$6:$AJ$45,MATCH($C41,Campaigns!$A$6:$A$45,0))+INDEX(Campaigns!$AL$6:$AL$45,MATCH($C41,Campaigns!$A$6:$A$45,0))</f>
        <v>2</v>
      </c>
      <c r="N41" s="19" t="n">
        <v>0</v>
      </c>
      <c r="O41" s="9" t="n">
        <f aca="false">INDEX(Campaigns!$W$6:$W$45,MATCH($C41,Campaigns!$A$6:$A$45,0))</f>
        <v>1</v>
      </c>
      <c r="P41" s="9" t="n">
        <f aca="false">INDEX(Campaigns!$Y$6:$Y$45,MATCH($C41,Campaigns!$A$6:$A$45,0))</f>
        <v>0</v>
      </c>
      <c r="Q41" s="7" t="n">
        <f aca="false">INDEX(Campaigns!$X$6:$X$45,MATCH($C41,Campaigns!$A$6:$A$45,0))</f>
        <v>1.11</v>
      </c>
      <c r="R41" s="7" t="n">
        <f aca="false">IF(I41=0,J41,0)</f>
        <v>2.26</v>
      </c>
      <c r="S41" s="20" t="n">
        <f aca="false">IF(INDEX(Campaigns!$J$6:$J$45,MATCH($C41,Campaigns!$A$6:$A$45,0))="","",INDEX(Campaigns!$J$6:$J$45,MATCH($C41,Campaigns!$A$6:$A$45,0)))</f>
        <v>3.8</v>
      </c>
      <c r="T41" s="9" t="str">
        <f aca="false">IFERROR(INDEX('Search Terms'!$C$5:$C$137,MATCH($E41,'Search Terms'!$A$5:$A$137,0)),"")</f>
        <v/>
      </c>
      <c r="U41" s="8" t="str">
        <f aca="false">IFERROR(INDEX('Search Terms'!$B$5:$B$137,MATCH($E41,'Search Terms'!$A$5:$A$137,0)),"")</f>
        <v/>
      </c>
      <c r="V41" s="8" t="str">
        <f aca="false">IFERROR(INDEX('Search Terms'!$D$5:$D$137,MATCH($E41,'Search Terms'!$A$5:$A$137,0)),"")</f>
        <v/>
      </c>
      <c r="W41" s="17" t="s">
        <v>185</v>
      </c>
      <c r="X41" s="17" t="s">
        <v>190</v>
      </c>
      <c r="Y41" s="17" t="s">
        <v>191</v>
      </c>
      <c r="Z41" s="8" t="s">
        <v>126</v>
      </c>
      <c r="AA41" s="21"/>
    </row>
    <row r="42" customFormat="false" ht="25.35" hidden="false" customHeight="false" outlineLevel="0" collapsed="false">
      <c r="A42" s="17" t="s">
        <v>96</v>
      </c>
      <c r="B42" s="17" t="s">
        <v>192</v>
      </c>
      <c r="C42" s="18" t="s">
        <v>193</v>
      </c>
      <c r="D42" s="8" t="str">
        <f aca="false">INDEX(Campaigns!$D$6:$D$45,MATCH($C42,Campaigns!$A$6:$A$45,0))</f>
        <v>SP Exact keyword</v>
      </c>
      <c r="E42" s="8" t="s">
        <v>192</v>
      </c>
      <c r="F42" s="8" t="str">
        <f aca="false">INDEX(Campaigns!$H$6:$H$45,MATCH($C42,Campaigns!$A$6:$A$45,0))</f>
        <v>PAUSED</v>
      </c>
      <c r="G42" s="8" t="str">
        <f aca="false">INDEX(Campaigns!$AU$6:$AU$45,MATCH($C42,Campaigns!$A$6:$A$45,0))</f>
        <v>PAUSED</v>
      </c>
      <c r="H42" s="9" t="n">
        <f aca="false">INDEX(Campaigns!$N$6:$N$45,MATCH($C42,Campaigns!$A$6:$A$45,0))</f>
        <v>71</v>
      </c>
      <c r="I42" s="9" t="n">
        <f aca="false">INDEX(Campaigns!$P$6:$P$45,MATCH($C42,Campaigns!$A$6:$A$45,0))</f>
        <v>0</v>
      </c>
      <c r="J42" s="7" t="n">
        <f aca="false">INDEX(Campaigns!$O$6:$O$45,MATCH($C42,Campaigns!$A$6:$A$45,0))</f>
        <v>63.38</v>
      </c>
      <c r="K42" s="10" t="str">
        <f aca="false">INDEX(Campaigns!$U$6:$U$45,MATCH($C42,Campaigns!$A$6:$A$45,0))</f>
        <v/>
      </c>
      <c r="L42" s="7" t="n">
        <f aca="false">INDEX(Campaigns!$T$6:$T$45,MATCH($C42,Campaigns!$A$6:$A$45,0))</f>
        <v>0.892676056338028</v>
      </c>
      <c r="M42" s="9" t="n">
        <f aca="false">INDEX(Campaigns!$AH$6:$AH$45,MATCH($C42,Campaigns!$A$6:$A$45,0))+INDEX(Campaigns!$AJ$6:$AJ$45,MATCH($C42,Campaigns!$A$6:$A$45,0))+INDEX(Campaigns!$AL$6:$AL$45,MATCH($C42,Campaigns!$A$6:$A$45,0))</f>
        <v>71</v>
      </c>
      <c r="N42" s="19" t="n">
        <v>0</v>
      </c>
      <c r="O42" s="9" t="n">
        <f aca="false">INDEX(Campaigns!$W$6:$W$45,MATCH($C42,Campaigns!$A$6:$A$45,0))</f>
        <v>0</v>
      </c>
      <c r="P42" s="9" t="n">
        <f aca="false">INDEX(Campaigns!$Y$6:$Y$45,MATCH($C42,Campaigns!$A$6:$A$45,0))</f>
        <v>0</v>
      </c>
      <c r="Q42" s="7" t="n">
        <f aca="false">INDEX(Campaigns!$X$6:$X$45,MATCH($C42,Campaigns!$A$6:$A$45,0))</f>
        <v>0</v>
      </c>
      <c r="R42" s="7" t="n">
        <f aca="false">IF(I42=0,J42,0)</f>
        <v>63.38</v>
      </c>
      <c r="S42" s="20" t="str">
        <f aca="false">IF(INDEX(Campaigns!$J$6:$J$45,MATCH($C42,Campaigns!$A$6:$A$45,0))="","",INDEX(Campaigns!$J$6:$J$45,MATCH($C42,Campaigns!$A$6:$A$45,0)))</f>
        <v/>
      </c>
      <c r="T42" s="9" t="n">
        <f aca="false">IFERROR(INDEX('Search Terms'!$C$5:$C$137,MATCH($E42,'Search Terms'!$A$5:$A$137,0)),"")</f>
        <v>1145</v>
      </c>
      <c r="U42" s="8" t="str">
        <f aca="false">IFERROR(INDEX('Search Terms'!$B$5:$B$137,MATCH($E42,'Search Terms'!$A$5:$A$137,0)),"")</f>
        <v>Relevant</v>
      </c>
      <c r="V42" s="8" t="n">
        <f aca="false">IFERROR(INDEX('Search Terms'!$D$5:$D$137,MATCH($E42,'Search Terms'!$A$5:$A$137,0)),"")</f>
        <v>125</v>
      </c>
      <c r="W42" s="17" t="s">
        <v>194</v>
      </c>
      <c r="X42" s="17" t="s">
        <v>195</v>
      </c>
      <c r="Y42" s="17" t="s">
        <v>196</v>
      </c>
      <c r="Z42" s="8" t="s">
        <v>126</v>
      </c>
      <c r="AA42" s="21"/>
    </row>
    <row r="43" customFormat="false" ht="15" hidden="false" customHeight="false" outlineLevel="0" collapsed="false">
      <c r="A43" s="17" t="s">
        <v>96</v>
      </c>
      <c r="B43" s="17" t="s">
        <v>197</v>
      </c>
      <c r="C43" s="18" t="s">
        <v>198</v>
      </c>
      <c r="D43" s="8" t="str">
        <f aca="false">INDEX(Campaigns!$D$6:$D$45,MATCH($C43,Campaigns!$A$6:$A$45,0))</f>
        <v>SP Exact keyword</v>
      </c>
      <c r="E43" s="8" t="s">
        <v>197</v>
      </c>
      <c r="F43" s="8" t="str">
        <f aca="false">INDEX(Campaigns!$H$6:$H$45,MATCH($C43,Campaigns!$A$6:$A$45,0))</f>
        <v>PAUSED</v>
      </c>
      <c r="G43" s="8" t="str">
        <f aca="false">INDEX(Campaigns!$AU$6:$AU$45,MATCH($C43,Campaigns!$A$6:$A$45,0))</f>
        <v>PAUSED</v>
      </c>
      <c r="H43" s="9" t="n">
        <f aca="false">INDEX(Campaigns!$N$6:$N$45,MATCH($C43,Campaigns!$A$6:$A$45,0))</f>
        <v>72</v>
      </c>
      <c r="I43" s="9" t="n">
        <f aca="false">INDEX(Campaigns!$P$6:$P$45,MATCH($C43,Campaigns!$A$6:$A$45,0))</f>
        <v>0</v>
      </c>
      <c r="J43" s="7" t="n">
        <f aca="false">INDEX(Campaigns!$O$6:$O$45,MATCH($C43,Campaigns!$A$6:$A$45,0))</f>
        <v>62.18</v>
      </c>
      <c r="K43" s="10" t="str">
        <f aca="false">INDEX(Campaigns!$U$6:$U$45,MATCH($C43,Campaigns!$A$6:$A$45,0))</f>
        <v/>
      </c>
      <c r="L43" s="7" t="n">
        <f aca="false">INDEX(Campaigns!$T$6:$T$45,MATCH($C43,Campaigns!$A$6:$A$45,0))</f>
        <v>0.863611111111111</v>
      </c>
      <c r="M43" s="9" t="n">
        <f aca="false">INDEX(Campaigns!$AH$6:$AH$45,MATCH($C43,Campaigns!$A$6:$A$45,0))+INDEX(Campaigns!$AJ$6:$AJ$45,MATCH($C43,Campaigns!$A$6:$A$45,0))+INDEX(Campaigns!$AL$6:$AL$45,MATCH($C43,Campaigns!$A$6:$A$45,0))</f>
        <v>72</v>
      </c>
      <c r="N43" s="19" t="n">
        <v>0</v>
      </c>
      <c r="O43" s="9" t="n">
        <f aca="false">INDEX(Campaigns!$W$6:$W$45,MATCH($C43,Campaigns!$A$6:$A$45,0))</f>
        <v>2</v>
      </c>
      <c r="P43" s="9" t="n">
        <f aca="false">INDEX(Campaigns!$Y$6:$Y$45,MATCH($C43,Campaigns!$A$6:$A$45,0))</f>
        <v>0</v>
      </c>
      <c r="Q43" s="7" t="n">
        <f aca="false">INDEX(Campaigns!$X$6:$X$45,MATCH($C43,Campaigns!$A$6:$A$45,0))</f>
        <v>1.36</v>
      </c>
      <c r="R43" s="7" t="n">
        <f aca="false">IF(I43=0,J43,0)</f>
        <v>62.18</v>
      </c>
      <c r="S43" s="20" t="str">
        <f aca="false">IF(INDEX(Campaigns!$J$6:$J$45,MATCH($C43,Campaigns!$A$6:$A$45,0))="","",INDEX(Campaigns!$J$6:$J$45,MATCH($C43,Campaigns!$A$6:$A$45,0)))</f>
        <v/>
      </c>
      <c r="T43" s="9" t="n">
        <f aca="false">IFERROR(INDEX('Search Terms'!$C$5:$C$137,MATCH($E43,'Search Terms'!$A$5:$A$137,0)),"")</f>
        <v>342</v>
      </c>
      <c r="U43" s="8" t="str">
        <f aca="false">IFERROR(INDEX('Search Terms'!$B$5:$B$137,MATCH($E43,'Search Terms'!$A$5:$A$137,0)),"")</f>
        <v>Relevant</v>
      </c>
      <c r="V43" s="8" t="n">
        <f aca="false">IFERROR(INDEX('Search Terms'!$D$5:$D$137,MATCH($E43,'Search Terms'!$A$5:$A$137,0)),"")</f>
        <v>109</v>
      </c>
      <c r="W43" s="17" t="s">
        <v>199</v>
      </c>
      <c r="X43" s="17" t="s">
        <v>200</v>
      </c>
      <c r="Y43" s="17" t="s">
        <v>201</v>
      </c>
      <c r="Z43" s="8" t="s">
        <v>126</v>
      </c>
      <c r="AA43" s="21"/>
    </row>
    <row r="44" customFormat="false" ht="25.35" hidden="false" customHeight="false" outlineLevel="0" collapsed="false">
      <c r="A44" s="17" t="s">
        <v>96</v>
      </c>
      <c r="B44" s="17" t="s">
        <v>202</v>
      </c>
      <c r="C44" s="18" t="s">
        <v>203</v>
      </c>
      <c r="D44" s="8" t="str">
        <f aca="false">INDEX(Campaigns!$D$6:$D$45,MATCH($C44,Campaigns!$A$6:$A$45,0))</f>
        <v>SP Exact keyword</v>
      </c>
      <c r="E44" s="8" t="s">
        <v>202</v>
      </c>
      <c r="F44" s="8" t="str">
        <f aca="false">INDEX(Campaigns!$H$6:$H$45,MATCH($C44,Campaigns!$A$6:$A$45,0))</f>
        <v>ENABLED</v>
      </c>
      <c r="G44" s="8" t="str">
        <f aca="false">INDEX(Campaigns!$AU$6:$AU$45,MATCH($C44,Campaigns!$A$6:$A$45,0))</f>
        <v>PAUSED</v>
      </c>
      <c r="H44" s="9" t="n">
        <f aca="false">INDEX(Campaigns!$N$6:$N$45,MATCH($C44,Campaigns!$A$6:$A$45,0))</f>
        <v>128</v>
      </c>
      <c r="I44" s="9" t="n">
        <f aca="false">INDEX(Campaigns!$P$6:$P$45,MATCH($C44,Campaigns!$A$6:$A$45,0))</f>
        <v>3</v>
      </c>
      <c r="J44" s="7" t="n">
        <f aca="false">INDEX(Campaigns!$O$6:$O$45,MATCH($C44,Campaigns!$A$6:$A$45,0))</f>
        <v>59.53</v>
      </c>
      <c r="K44" s="10" t="n">
        <f aca="false">INDEX(Campaigns!$U$6:$U$45,MATCH($C44,Campaigns!$A$6:$A$45,0))</f>
        <v>0.669101944475666</v>
      </c>
      <c r="L44" s="7" t="n">
        <f aca="false">INDEX(Campaigns!$T$6:$T$45,MATCH($C44,Campaigns!$A$6:$A$45,0))</f>
        <v>0.465078125</v>
      </c>
      <c r="M44" s="9" t="n">
        <f aca="false">INDEX(Campaigns!$AH$6:$AH$45,MATCH($C44,Campaigns!$A$6:$A$45,0))+INDEX(Campaigns!$AJ$6:$AJ$45,MATCH($C44,Campaigns!$A$6:$A$45,0))+INDEX(Campaigns!$AL$6:$AL$45,MATCH($C44,Campaigns!$A$6:$A$45,0))</f>
        <v>30</v>
      </c>
      <c r="N44" s="19" t="n">
        <v>0</v>
      </c>
      <c r="O44" s="9" t="n">
        <f aca="false">INDEX(Campaigns!$W$6:$W$45,MATCH($C44,Campaigns!$A$6:$A$45,0))</f>
        <v>22</v>
      </c>
      <c r="P44" s="9" t="n">
        <f aca="false">INDEX(Campaigns!$Y$6:$Y$45,MATCH($C44,Campaigns!$A$6:$A$45,0))</f>
        <v>0</v>
      </c>
      <c r="Q44" s="7" t="n">
        <f aca="false">INDEX(Campaigns!$X$6:$X$45,MATCH($C44,Campaigns!$A$6:$A$45,0))</f>
        <v>19.03</v>
      </c>
      <c r="R44" s="7" t="n">
        <f aca="false">IF(I44=0,J44,0)</f>
        <v>0</v>
      </c>
      <c r="S44" s="20" t="n">
        <f aca="false">IF(INDEX(Campaigns!$J$6:$J$45,MATCH($C44,Campaigns!$A$6:$A$45,0))="","",INDEX(Campaigns!$J$6:$J$45,MATCH($C44,Campaigns!$A$6:$A$45,0)))</f>
        <v>3.56</v>
      </c>
      <c r="T44" s="9" t="n">
        <f aca="false">IFERROR(INDEX('Search Terms'!$C$5:$C$137,MATCH($E44,'Search Terms'!$A$5:$A$137,0)),"")</f>
        <v>301</v>
      </c>
      <c r="U44" s="8" t="str">
        <f aca="false">IFERROR(INDEX('Search Terms'!$B$5:$B$137,MATCH($E44,'Search Terms'!$A$5:$A$137,0)),"")</f>
        <v>Highly Relevant</v>
      </c>
      <c r="V44" s="8" t="n">
        <f aca="false">IFERROR(INDEX('Search Terms'!$D$5:$D$137,MATCH($E44,'Search Terms'!$A$5:$A$137,0)),"")</f>
        <v>0</v>
      </c>
      <c r="W44" s="17" t="s">
        <v>204</v>
      </c>
      <c r="X44" s="17" t="s">
        <v>205</v>
      </c>
      <c r="Y44" s="17" t="s">
        <v>206</v>
      </c>
      <c r="Z44" s="8" t="s">
        <v>126</v>
      </c>
      <c r="AA44" s="21"/>
    </row>
    <row r="45" customFormat="false" ht="25.35" hidden="false" customHeight="false" outlineLevel="0" collapsed="false">
      <c r="A45" s="17" t="s">
        <v>96</v>
      </c>
      <c r="B45" s="17" t="s">
        <v>207</v>
      </c>
      <c r="C45" s="18" t="s">
        <v>208</v>
      </c>
      <c r="D45" s="8" t="str">
        <f aca="false">INDEX(Campaigns!$D$6:$D$45,MATCH($C45,Campaigns!$A$6:$A$45,0))</f>
        <v>SP Exact keyword</v>
      </c>
      <c r="E45" s="8" t="s">
        <v>207</v>
      </c>
      <c r="F45" s="8" t="str">
        <f aca="false">INDEX(Campaigns!$H$6:$H$45,MATCH($C45,Campaigns!$A$6:$A$45,0))</f>
        <v>ENABLED</v>
      </c>
      <c r="G45" s="8" t="str">
        <f aca="false">INDEX(Campaigns!$AU$6:$AU$45,MATCH($C45,Campaigns!$A$6:$A$45,0))</f>
        <v>PAUSED</v>
      </c>
      <c r="H45" s="9" t="n">
        <f aca="false">INDEX(Campaigns!$N$6:$N$45,MATCH($C45,Campaigns!$A$6:$A$45,0))</f>
        <v>23</v>
      </c>
      <c r="I45" s="9" t="n">
        <f aca="false">INDEX(Campaigns!$P$6:$P$45,MATCH($C45,Campaigns!$A$6:$A$45,0))</f>
        <v>0</v>
      </c>
      <c r="J45" s="7" t="n">
        <f aca="false">INDEX(Campaigns!$O$6:$O$45,MATCH($C45,Campaigns!$A$6:$A$45,0))</f>
        <v>29.74</v>
      </c>
      <c r="K45" s="10" t="str">
        <f aca="false">INDEX(Campaigns!$U$6:$U$45,MATCH($C45,Campaigns!$A$6:$A$45,0))</f>
        <v/>
      </c>
      <c r="L45" s="7" t="n">
        <f aca="false">INDEX(Campaigns!$T$6:$T$45,MATCH($C45,Campaigns!$A$6:$A$45,0))</f>
        <v>1.29304347826087</v>
      </c>
      <c r="M45" s="9" t="n">
        <f aca="false">INDEX(Campaigns!$AH$6:$AH$45,MATCH($C45,Campaigns!$A$6:$A$45,0))+INDEX(Campaigns!$AJ$6:$AJ$45,MATCH($C45,Campaigns!$A$6:$A$45,0))+INDEX(Campaigns!$AL$6:$AL$45,MATCH($C45,Campaigns!$A$6:$A$45,0))</f>
        <v>23</v>
      </c>
      <c r="N45" s="19" t="n">
        <v>0</v>
      </c>
      <c r="O45" s="9" t="n">
        <f aca="false">INDEX(Campaigns!$W$6:$W$45,MATCH($C45,Campaigns!$A$6:$A$45,0))</f>
        <v>14</v>
      </c>
      <c r="P45" s="9" t="n">
        <f aca="false">INDEX(Campaigns!$Y$6:$Y$45,MATCH($C45,Campaigns!$A$6:$A$45,0))</f>
        <v>0</v>
      </c>
      <c r="Q45" s="7" t="n">
        <f aca="false">INDEX(Campaigns!$X$6:$X$45,MATCH($C45,Campaigns!$A$6:$A$45,0))</f>
        <v>19</v>
      </c>
      <c r="R45" s="7" t="n">
        <f aca="false">IF(I45=0,J45,0)</f>
        <v>29.74</v>
      </c>
      <c r="S45" s="20" t="n">
        <f aca="false">IF(INDEX(Campaigns!$J$6:$J$45,MATCH($C45,Campaigns!$A$6:$A$45,0))="","",INDEX(Campaigns!$J$6:$J$45,MATCH($C45,Campaigns!$A$6:$A$45,0)))</f>
        <v>3</v>
      </c>
      <c r="T45" s="9" t="n">
        <f aca="false">IFERROR(INDEX('Search Terms'!$C$5:$C$137,MATCH($E45,'Search Terms'!$A$5:$A$137,0)),"")</f>
        <v>310</v>
      </c>
      <c r="U45" s="8" t="str">
        <f aca="false">IFERROR(INDEX('Search Terms'!$B$5:$B$137,MATCH($E45,'Search Terms'!$A$5:$A$137,0)),"")</f>
        <v>Lower Relevant</v>
      </c>
      <c r="V45" s="8" t="n">
        <f aca="false">IFERROR(INDEX('Search Terms'!$D$5:$D$137,MATCH($E45,'Search Terms'!$A$5:$A$137,0)),"")</f>
        <v>136</v>
      </c>
      <c r="W45" s="17" t="s">
        <v>204</v>
      </c>
      <c r="X45" s="17" t="s">
        <v>209</v>
      </c>
      <c r="Y45" s="17" t="s">
        <v>206</v>
      </c>
      <c r="Z45" s="8" t="s">
        <v>126</v>
      </c>
      <c r="AA45" s="21"/>
    </row>
    <row r="46" customFormat="false" ht="25.35" hidden="false" customHeight="false" outlineLevel="0" collapsed="false">
      <c r="A46" s="17" t="s">
        <v>96</v>
      </c>
      <c r="B46" s="17" t="s">
        <v>210</v>
      </c>
      <c r="C46" s="18" t="s">
        <v>211</v>
      </c>
      <c r="D46" s="8" t="str">
        <f aca="false">INDEX(Campaigns!$D$6:$D$45,MATCH($C46,Campaigns!$A$6:$A$45,0))</f>
        <v>SP Exact keyword</v>
      </c>
      <c r="E46" s="8" t="s">
        <v>210</v>
      </c>
      <c r="F46" s="8" t="str">
        <f aca="false">INDEX(Campaigns!$H$6:$H$45,MATCH($C46,Campaigns!$A$6:$A$45,0))</f>
        <v>ENABLED</v>
      </c>
      <c r="G46" s="8" t="str">
        <f aca="false">INDEX(Campaigns!$AU$6:$AU$45,MATCH($C46,Campaigns!$A$6:$A$45,0))</f>
        <v>PAUSED</v>
      </c>
      <c r="H46" s="9" t="n">
        <f aca="false">INDEX(Campaigns!$N$6:$N$45,MATCH($C46,Campaigns!$A$6:$A$45,0))</f>
        <v>18</v>
      </c>
      <c r="I46" s="9" t="n">
        <f aca="false">INDEX(Campaigns!$P$6:$P$45,MATCH($C46,Campaigns!$A$6:$A$45,0))</f>
        <v>0</v>
      </c>
      <c r="J46" s="7" t="n">
        <f aca="false">INDEX(Campaigns!$O$6:$O$45,MATCH($C46,Campaigns!$A$6:$A$45,0))</f>
        <v>28.44</v>
      </c>
      <c r="K46" s="10" t="str">
        <f aca="false">INDEX(Campaigns!$U$6:$U$45,MATCH($C46,Campaigns!$A$6:$A$45,0))</f>
        <v/>
      </c>
      <c r="L46" s="7" t="n">
        <f aca="false">INDEX(Campaigns!$T$6:$T$45,MATCH($C46,Campaigns!$A$6:$A$45,0))</f>
        <v>1.58</v>
      </c>
      <c r="M46" s="9" t="n">
        <f aca="false">INDEX(Campaigns!$AH$6:$AH$45,MATCH($C46,Campaigns!$A$6:$A$45,0))+INDEX(Campaigns!$AJ$6:$AJ$45,MATCH($C46,Campaigns!$A$6:$A$45,0))+INDEX(Campaigns!$AL$6:$AL$45,MATCH($C46,Campaigns!$A$6:$A$45,0))</f>
        <v>18</v>
      </c>
      <c r="N46" s="19" t="n">
        <v>0</v>
      </c>
      <c r="O46" s="9" t="n">
        <f aca="false">INDEX(Campaigns!$W$6:$W$45,MATCH($C46,Campaigns!$A$6:$A$45,0))</f>
        <v>7</v>
      </c>
      <c r="P46" s="9" t="n">
        <f aca="false">INDEX(Campaigns!$Y$6:$Y$45,MATCH($C46,Campaigns!$A$6:$A$45,0))</f>
        <v>0</v>
      </c>
      <c r="Q46" s="7" t="n">
        <f aca="false">INDEX(Campaigns!$X$6:$X$45,MATCH($C46,Campaigns!$A$6:$A$45,0))</f>
        <v>10.12</v>
      </c>
      <c r="R46" s="7" t="n">
        <f aca="false">IF(I46=0,J46,0)</f>
        <v>28.44</v>
      </c>
      <c r="S46" s="20" t="n">
        <f aca="false">IF(INDEX(Campaigns!$J$6:$J$45,MATCH($C46,Campaigns!$A$6:$A$45,0))="","",INDEX(Campaigns!$J$6:$J$45,MATCH($C46,Campaigns!$A$6:$A$45,0)))</f>
        <v>3.3</v>
      </c>
      <c r="T46" s="9" t="n">
        <f aca="false">IFERROR(INDEX('Search Terms'!$C$5:$C$137,MATCH($E46,'Search Terms'!$A$5:$A$137,0)),"")</f>
        <v>1047</v>
      </c>
      <c r="U46" s="8" t="str">
        <f aca="false">IFERROR(INDEX('Search Terms'!$B$5:$B$137,MATCH($E46,'Search Terms'!$A$5:$A$137,0)),"")</f>
        <v>Lower Relevant</v>
      </c>
      <c r="V46" s="8" t="n">
        <f aca="false">IFERROR(INDEX('Search Terms'!$D$5:$D$137,MATCH($E46,'Search Terms'!$A$5:$A$137,0)),"")</f>
        <v>0</v>
      </c>
      <c r="W46" s="17" t="s">
        <v>204</v>
      </c>
      <c r="X46" s="17" t="s">
        <v>212</v>
      </c>
      <c r="Y46" s="17" t="s">
        <v>213</v>
      </c>
      <c r="Z46" s="8" t="s">
        <v>126</v>
      </c>
      <c r="AA46" s="21"/>
    </row>
    <row r="47" customFormat="false" ht="15" hidden="false" customHeight="false" outlineLevel="0" collapsed="false">
      <c r="A47" s="17" t="s">
        <v>96</v>
      </c>
      <c r="B47" s="17" t="s">
        <v>214</v>
      </c>
      <c r="C47" s="18" t="s">
        <v>215</v>
      </c>
      <c r="D47" s="8" t="str">
        <f aca="false">INDEX(Campaigns!$D$6:$D$45,MATCH($C47,Campaigns!$A$6:$A$45,0))</f>
        <v>SP Exact keyword</v>
      </c>
      <c r="E47" s="8" t="s">
        <v>214</v>
      </c>
      <c r="F47" s="8" t="str">
        <f aca="false">INDEX(Campaigns!$H$6:$H$45,MATCH($C47,Campaigns!$A$6:$A$45,0))</f>
        <v>PAUSED</v>
      </c>
      <c r="G47" s="8" t="str">
        <f aca="false">INDEX(Campaigns!$AU$6:$AU$45,MATCH($C47,Campaigns!$A$6:$A$45,0))</f>
        <v>PAUSED</v>
      </c>
      <c r="H47" s="9" t="n">
        <f aca="false">INDEX(Campaigns!$N$6:$N$45,MATCH($C47,Campaigns!$A$6:$A$45,0))</f>
        <v>24</v>
      </c>
      <c r="I47" s="9" t="n">
        <f aca="false">INDEX(Campaigns!$P$6:$P$45,MATCH($C47,Campaigns!$A$6:$A$45,0))</f>
        <v>0</v>
      </c>
      <c r="J47" s="7" t="n">
        <f aca="false">INDEX(Campaigns!$O$6:$O$45,MATCH($C47,Campaigns!$A$6:$A$45,0))</f>
        <v>28.09</v>
      </c>
      <c r="K47" s="10" t="str">
        <f aca="false">INDEX(Campaigns!$U$6:$U$45,MATCH($C47,Campaigns!$A$6:$A$45,0))</f>
        <v/>
      </c>
      <c r="L47" s="7" t="n">
        <f aca="false">INDEX(Campaigns!$T$6:$T$45,MATCH($C47,Campaigns!$A$6:$A$45,0))</f>
        <v>1.17041666666667</v>
      </c>
      <c r="M47" s="9" t="n">
        <f aca="false">INDEX(Campaigns!$AH$6:$AH$45,MATCH($C47,Campaigns!$A$6:$A$45,0))+INDEX(Campaigns!$AJ$6:$AJ$45,MATCH($C47,Campaigns!$A$6:$A$45,0))+INDEX(Campaigns!$AL$6:$AL$45,MATCH($C47,Campaigns!$A$6:$A$45,0))</f>
        <v>24</v>
      </c>
      <c r="N47" s="19" t="n">
        <v>0</v>
      </c>
      <c r="O47" s="9" t="n">
        <f aca="false">INDEX(Campaigns!$W$6:$W$45,MATCH($C47,Campaigns!$A$6:$A$45,0))</f>
        <v>11</v>
      </c>
      <c r="P47" s="9" t="n">
        <f aca="false">INDEX(Campaigns!$Y$6:$Y$45,MATCH($C47,Campaigns!$A$6:$A$45,0))</f>
        <v>0</v>
      </c>
      <c r="Q47" s="7" t="n">
        <f aca="false">INDEX(Campaigns!$X$6:$X$45,MATCH($C47,Campaigns!$A$6:$A$45,0))</f>
        <v>9.93</v>
      </c>
      <c r="R47" s="7" t="n">
        <f aca="false">IF(I47=0,J47,0)</f>
        <v>28.09</v>
      </c>
      <c r="S47" s="20" t="str">
        <f aca="false">IF(INDEX(Campaigns!$J$6:$J$45,MATCH($C47,Campaigns!$A$6:$A$45,0))="","",INDEX(Campaigns!$J$6:$J$45,MATCH($C47,Campaigns!$A$6:$A$45,0)))</f>
        <v/>
      </c>
      <c r="T47" s="9" t="n">
        <f aca="false">IFERROR(INDEX('Search Terms'!$C$5:$C$137,MATCH($E47,'Search Terms'!$A$5:$A$137,0)),"")</f>
        <v>348</v>
      </c>
      <c r="U47" s="8" t="str">
        <f aca="false">IFERROR(INDEX('Search Terms'!$B$5:$B$137,MATCH($E47,'Search Terms'!$A$5:$A$137,0)),"")</f>
        <v>Relevant</v>
      </c>
      <c r="V47" s="8" t="n">
        <f aca="false">IFERROR(INDEX('Search Terms'!$D$5:$D$137,MATCH($E47,'Search Terms'!$A$5:$A$137,0)),"")</f>
        <v>0</v>
      </c>
      <c r="W47" s="17" t="s">
        <v>199</v>
      </c>
      <c r="X47" s="17" t="s">
        <v>216</v>
      </c>
      <c r="Y47" s="17" t="s">
        <v>206</v>
      </c>
      <c r="Z47" s="8" t="s">
        <v>126</v>
      </c>
      <c r="AA47" s="21"/>
    </row>
    <row r="48" customFormat="false" ht="25.35" hidden="false" customHeight="false" outlineLevel="0" collapsed="false">
      <c r="A48" s="17" t="s">
        <v>96</v>
      </c>
      <c r="B48" s="17" t="s">
        <v>217</v>
      </c>
      <c r="C48" s="18" t="s">
        <v>218</v>
      </c>
      <c r="D48" s="8" t="str">
        <f aca="false">INDEX(Campaigns!$D$6:$D$45,MATCH($C48,Campaigns!$A$6:$A$45,0))</f>
        <v>SP Exact keyword</v>
      </c>
      <c r="E48" s="8" t="s">
        <v>217</v>
      </c>
      <c r="F48" s="8" t="str">
        <f aca="false">INDEX(Campaigns!$H$6:$H$45,MATCH($C48,Campaigns!$A$6:$A$45,0))</f>
        <v>PAUSED</v>
      </c>
      <c r="G48" s="8" t="str">
        <f aca="false">INDEX(Campaigns!$AU$6:$AU$45,MATCH($C48,Campaigns!$A$6:$A$45,0))</f>
        <v>PAUSED</v>
      </c>
      <c r="H48" s="9" t="n">
        <f aca="false">INDEX(Campaigns!$N$6:$N$45,MATCH($C48,Campaigns!$A$6:$A$45,0))</f>
        <v>32</v>
      </c>
      <c r="I48" s="9" t="n">
        <f aca="false">INDEX(Campaigns!$P$6:$P$45,MATCH($C48,Campaigns!$A$6:$A$45,0))</f>
        <v>0</v>
      </c>
      <c r="J48" s="7" t="n">
        <f aca="false">INDEX(Campaigns!$O$6:$O$45,MATCH($C48,Campaigns!$A$6:$A$45,0))</f>
        <v>27.55</v>
      </c>
      <c r="K48" s="10" t="str">
        <f aca="false">INDEX(Campaigns!$U$6:$U$45,MATCH($C48,Campaigns!$A$6:$A$45,0))</f>
        <v/>
      </c>
      <c r="L48" s="7" t="n">
        <f aca="false">INDEX(Campaigns!$T$6:$T$45,MATCH($C48,Campaigns!$A$6:$A$45,0))</f>
        <v>0.8609375</v>
      </c>
      <c r="M48" s="9" t="n">
        <f aca="false">INDEX(Campaigns!$AH$6:$AH$45,MATCH($C48,Campaigns!$A$6:$A$45,0))+INDEX(Campaigns!$AJ$6:$AJ$45,MATCH($C48,Campaigns!$A$6:$A$45,0))+INDEX(Campaigns!$AL$6:$AL$45,MATCH($C48,Campaigns!$A$6:$A$45,0))</f>
        <v>32</v>
      </c>
      <c r="N48" s="19" t="n">
        <v>0</v>
      </c>
      <c r="O48" s="9" t="n">
        <f aca="false">INDEX(Campaigns!$W$6:$W$45,MATCH($C48,Campaigns!$A$6:$A$45,0))</f>
        <v>0</v>
      </c>
      <c r="P48" s="9" t="n">
        <f aca="false">INDEX(Campaigns!$Y$6:$Y$45,MATCH($C48,Campaigns!$A$6:$A$45,0))</f>
        <v>0</v>
      </c>
      <c r="Q48" s="7" t="n">
        <f aca="false">INDEX(Campaigns!$X$6:$X$45,MATCH($C48,Campaigns!$A$6:$A$45,0))</f>
        <v>0</v>
      </c>
      <c r="R48" s="7" t="n">
        <f aca="false">IF(I48=0,J48,0)</f>
        <v>27.55</v>
      </c>
      <c r="S48" s="20" t="str">
        <f aca="false">IF(INDEX(Campaigns!$J$6:$J$45,MATCH($C48,Campaigns!$A$6:$A$45,0))="","",INDEX(Campaigns!$J$6:$J$45,MATCH($C48,Campaigns!$A$6:$A$45,0)))</f>
        <v/>
      </c>
      <c r="T48" s="9" t="n">
        <f aca="false">IFERROR(INDEX('Search Terms'!$C$5:$C$137,MATCH($E48,'Search Terms'!$A$5:$A$137,0)),"")</f>
        <v>869</v>
      </c>
      <c r="U48" s="8" t="str">
        <f aca="false">IFERROR(INDEX('Search Terms'!$B$5:$B$137,MATCH($E48,'Search Terms'!$A$5:$A$137,0)),"")</f>
        <v>Relevant</v>
      </c>
      <c r="V48" s="8" t="n">
        <f aca="false">IFERROR(INDEX('Search Terms'!$D$5:$D$137,MATCH($E48,'Search Terms'!$A$5:$A$137,0)),"")</f>
        <v>120</v>
      </c>
      <c r="W48" s="17" t="s">
        <v>199</v>
      </c>
      <c r="X48" s="17" t="s">
        <v>219</v>
      </c>
      <c r="Y48" s="17" t="s">
        <v>201</v>
      </c>
      <c r="Z48" s="8" t="s">
        <v>126</v>
      </c>
      <c r="AA48" s="21"/>
    </row>
    <row r="49" customFormat="false" ht="25.35" hidden="false" customHeight="false" outlineLevel="0" collapsed="false">
      <c r="A49" s="17" t="s">
        <v>96</v>
      </c>
      <c r="B49" s="17" t="s">
        <v>220</v>
      </c>
      <c r="C49" s="18" t="s">
        <v>221</v>
      </c>
      <c r="D49" s="8" t="str">
        <f aca="false">INDEX(Campaigns!$D$6:$D$45,MATCH($C49,Campaigns!$A$6:$A$45,0))</f>
        <v>SP Exact keyword</v>
      </c>
      <c r="E49" s="8" t="s">
        <v>220</v>
      </c>
      <c r="F49" s="8" t="str">
        <f aca="false">INDEX(Campaigns!$H$6:$H$45,MATCH($C49,Campaigns!$A$6:$A$45,0))</f>
        <v>PAUSED</v>
      </c>
      <c r="G49" s="8" t="str">
        <f aca="false">INDEX(Campaigns!$AU$6:$AU$45,MATCH($C49,Campaigns!$A$6:$A$45,0))</f>
        <v>PAUSED</v>
      </c>
      <c r="H49" s="9" t="n">
        <f aca="false">INDEX(Campaigns!$N$6:$N$45,MATCH($C49,Campaigns!$A$6:$A$45,0))</f>
        <v>28</v>
      </c>
      <c r="I49" s="9" t="n">
        <f aca="false">INDEX(Campaigns!$P$6:$P$45,MATCH($C49,Campaigns!$A$6:$A$45,0))</f>
        <v>0</v>
      </c>
      <c r="J49" s="7" t="n">
        <f aca="false">INDEX(Campaigns!$O$6:$O$45,MATCH($C49,Campaigns!$A$6:$A$45,0))</f>
        <v>27.35</v>
      </c>
      <c r="K49" s="10" t="str">
        <f aca="false">INDEX(Campaigns!$U$6:$U$45,MATCH($C49,Campaigns!$A$6:$A$45,0))</f>
        <v/>
      </c>
      <c r="L49" s="7" t="n">
        <f aca="false">INDEX(Campaigns!$T$6:$T$45,MATCH($C49,Campaigns!$A$6:$A$45,0))</f>
        <v>0.976785714285714</v>
      </c>
      <c r="M49" s="9" t="n">
        <f aca="false">INDEX(Campaigns!$AH$6:$AH$45,MATCH($C49,Campaigns!$A$6:$A$45,0))+INDEX(Campaigns!$AJ$6:$AJ$45,MATCH($C49,Campaigns!$A$6:$A$45,0))+INDEX(Campaigns!$AL$6:$AL$45,MATCH($C49,Campaigns!$A$6:$A$45,0))</f>
        <v>28</v>
      </c>
      <c r="N49" s="19" t="n">
        <v>0</v>
      </c>
      <c r="O49" s="9" t="n">
        <f aca="false">INDEX(Campaigns!$W$6:$W$45,MATCH($C49,Campaigns!$A$6:$A$45,0))</f>
        <v>10</v>
      </c>
      <c r="P49" s="9" t="n">
        <f aca="false">INDEX(Campaigns!$Y$6:$Y$45,MATCH($C49,Campaigns!$A$6:$A$45,0))</f>
        <v>0</v>
      </c>
      <c r="Q49" s="7" t="n">
        <f aca="false">INDEX(Campaigns!$X$6:$X$45,MATCH($C49,Campaigns!$A$6:$A$45,0))</f>
        <v>9</v>
      </c>
      <c r="R49" s="7" t="n">
        <f aca="false">IF(I49=0,J49,0)</f>
        <v>27.35</v>
      </c>
      <c r="S49" s="20" t="str">
        <f aca="false">IF(INDEX(Campaigns!$J$6:$J$45,MATCH($C49,Campaigns!$A$6:$A$45,0))="","",INDEX(Campaigns!$J$6:$J$45,MATCH($C49,Campaigns!$A$6:$A$45,0)))</f>
        <v/>
      </c>
      <c r="T49" s="9" t="n">
        <f aca="false">IFERROR(INDEX('Search Terms'!$C$5:$C$137,MATCH($E49,'Search Terms'!$A$5:$A$137,0)),"")</f>
        <v>608</v>
      </c>
      <c r="U49" s="8" t="str">
        <f aca="false">IFERROR(INDEX('Search Terms'!$B$5:$B$137,MATCH($E49,'Search Terms'!$A$5:$A$137,0)),"")</f>
        <v>Highly Relevant</v>
      </c>
      <c r="V49" s="8" t="n">
        <f aca="false">IFERROR(INDEX('Search Terms'!$D$5:$D$137,MATCH($E49,'Search Terms'!$A$5:$A$137,0)),"")</f>
        <v>104</v>
      </c>
      <c r="W49" s="17" t="s">
        <v>199</v>
      </c>
      <c r="X49" s="17" t="s">
        <v>222</v>
      </c>
      <c r="Y49" s="17" t="s">
        <v>223</v>
      </c>
      <c r="Z49" s="8" t="s">
        <v>126</v>
      </c>
      <c r="AA49" s="21"/>
    </row>
    <row r="50" customFormat="false" ht="25.35" hidden="false" customHeight="false" outlineLevel="0" collapsed="false">
      <c r="A50" s="17" t="s">
        <v>96</v>
      </c>
      <c r="B50" s="17" t="s">
        <v>224</v>
      </c>
      <c r="C50" s="18" t="s">
        <v>225</v>
      </c>
      <c r="D50" s="8" t="str">
        <f aca="false">INDEX(Campaigns!$D$6:$D$45,MATCH($C50,Campaigns!$A$6:$A$45,0))</f>
        <v>SP Product targeting</v>
      </c>
      <c r="E50" s="8" t="s">
        <v>226</v>
      </c>
      <c r="F50" s="8" t="str">
        <f aca="false">INDEX(Campaigns!$H$6:$H$45,MATCH($C50,Campaigns!$A$6:$A$45,0))</f>
        <v>ENABLED</v>
      </c>
      <c r="G50" s="8" t="str">
        <f aca="false">INDEX(Campaigns!$AU$6:$AU$45,MATCH($C50,Campaigns!$A$6:$A$45,0))</f>
        <v>PAUSED</v>
      </c>
      <c r="H50" s="9" t="n">
        <f aca="false">INDEX(Campaigns!$N$6:$N$45,MATCH($C50,Campaigns!$A$6:$A$45,0))</f>
        <v>31</v>
      </c>
      <c r="I50" s="9" t="n">
        <f aca="false">INDEX(Campaigns!$P$6:$P$45,MATCH($C50,Campaigns!$A$6:$A$45,0))</f>
        <v>0</v>
      </c>
      <c r="J50" s="7" t="n">
        <f aca="false">INDEX(Campaigns!$O$6:$O$45,MATCH($C50,Campaigns!$A$6:$A$45,0))</f>
        <v>25.24</v>
      </c>
      <c r="K50" s="10" t="str">
        <f aca="false">INDEX(Campaigns!$U$6:$U$45,MATCH($C50,Campaigns!$A$6:$A$45,0))</f>
        <v/>
      </c>
      <c r="L50" s="7" t="n">
        <f aca="false">INDEX(Campaigns!$T$6:$T$45,MATCH($C50,Campaigns!$A$6:$A$45,0))</f>
        <v>0.814193548387097</v>
      </c>
      <c r="M50" s="9" t="n">
        <f aca="false">INDEX(Campaigns!$AH$6:$AH$45,MATCH($C50,Campaigns!$A$6:$A$45,0))+INDEX(Campaigns!$AJ$6:$AJ$45,MATCH($C50,Campaigns!$A$6:$A$45,0))+INDEX(Campaigns!$AL$6:$AL$45,MATCH($C50,Campaigns!$A$6:$A$45,0))</f>
        <v>31</v>
      </c>
      <c r="N50" s="19" t="n">
        <v>0</v>
      </c>
      <c r="O50" s="9" t="n">
        <f aca="false">INDEX(Campaigns!$W$6:$W$45,MATCH($C50,Campaigns!$A$6:$A$45,0))</f>
        <v>26</v>
      </c>
      <c r="P50" s="9" t="n">
        <f aca="false">INDEX(Campaigns!$Y$6:$Y$45,MATCH($C50,Campaigns!$A$6:$A$45,0))</f>
        <v>0</v>
      </c>
      <c r="Q50" s="7" t="n">
        <f aca="false">INDEX(Campaigns!$X$6:$X$45,MATCH($C50,Campaigns!$A$6:$A$45,0))</f>
        <v>21.14</v>
      </c>
      <c r="R50" s="7" t="n">
        <f aca="false">IF(I50=0,J50,0)</f>
        <v>25.24</v>
      </c>
      <c r="S50" s="20" t="n">
        <f aca="false">IF(INDEX(Campaigns!$J$6:$J$45,MATCH($C50,Campaigns!$A$6:$A$45,0))="","",INDEX(Campaigns!$J$6:$J$45,MATCH($C50,Campaigns!$A$6:$A$45,0)))</f>
        <v>0</v>
      </c>
      <c r="T50" s="9" t="n">
        <f aca="false">IFERROR(INDEX('Search Terms'!$C$5:$C$137,MATCH($E50,'Search Terms'!$A$5:$A$137,0)),"")</f>
        <v>0</v>
      </c>
      <c r="U50" s="8" t="str">
        <f aca="false">IFERROR(INDEX('Search Terms'!$B$5:$B$137,MATCH($E50,'Search Terms'!$A$5:$A$137,0)),"")</f>
        <v>Not Relevant</v>
      </c>
      <c r="V50" s="8" t="n">
        <f aca="false">IFERROR(INDEX('Search Terms'!$D$5:$D$137,MATCH($E50,'Search Terms'!$A$5:$A$137,0)),"")</f>
        <v>0</v>
      </c>
      <c r="W50" s="17" t="s">
        <v>204</v>
      </c>
      <c r="X50" s="17" t="s">
        <v>227</v>
      </c>
      <c r="Y50" s="17" t="s">
        <v>228</v>
      </c>
      <c r="Z50" s="8" t="s">
        <v>126</v>
      </c>
      <c r="AA50" s="21"/>
    </row>
    <row r="51" customFormat="false" ht="15" hidden="false" customHeight="false" outlineLevel="0" collapsed="false">
      <c r="A51" s="17" t="s">
        <v>96</v>
      </c>
      <c r="B51" s="17" t="s">
        <v>229</v>
      </c>
      <c r="C51" s="18" t="s">
        <v>230</v>
      </c>
      <c r="D51" s="8" t="str">
        <f aca="false">INDEX(Campaigns!$D$6:$D$45,MATCH($C51,Campaigns!$A$6:$A$45,0))</f>
        <v>SP Exact keyword</v>
      </c>
      <c r="E51" s="8" t="s">
        <v>229</v>
      </c>
      <c r="F51" s="8" t="str">
        <f aca="false">INDEX(Campaigns!$H$6:$H$45,MATCH($C51,Campaigns!$A$6:$A$45,0))</f>
        <v>PAUSED</v>
      </c>
      <c r="G51" s="8" t="str">
        <f aca="false">INDEX(Campaigns!$AU$6:$AU$45,MATCH($C51,Campaigns!$A$6:$A$45,0))</f>
        <v>PAUSED</v>
      </c>
      <c r="H51" s="9" t="n">
        <f aca="false">INDEX(Campaigns!$N$6:$N$45,MATCH($C51,Campaigns!$A$6:$A$45,0))</f>
        <v>79</v>
      </c>
      <c r="I51" s="9" t="n">
        <f aca="false">INDEX(Campaigns!$P$6:$P$45,MATCH($C51,Campaigns!$A$6:$A$45,0))</f>
        <v>0</v>
      </c>
      <c r="J51" s="7" t="n">
        <f aca="false">INDEX(Campaigns!$O$6:$O$45,MATCH($C51,Campaigns!$A$6:$A$45,0))</f>
        <v>24.07</v>
      </c>
      <c r="K51" s="10" t="str">
        <f aca="false">INDEX(Campaigns!$U$6:$U$45,MATCH($C51,Campaigns!$A$6:$A$45,0))</f>
        <v/>
      </c>
      <c r="L51" s="7" t="n">
        <f aca="false">INDEX(Campaigns!$T$6:$T$45,MATCH($C51,Campaigns!$A$6:$A$45,0))</f>
        <v>0.304683544303797</v>
      </c>
      <c r="M51" s="9" t="n">
        <f aca="false">INDEX(Campaigns!$AH$6:$AH$45,MATCH($C51,Campaigns!$A$6:$A$45,0))+INDEX(Campaigns!$AJ$6:$AJ$45,MATCH($C51,Campaigns!$A$6:$A$45,0))+INDEX(Campaigns!$AL$6:$AL$45,MATCH($C51,Campaigns!$A$6:$A$45,0))</f>
        <v>7</v>
      </c>
      <c r="N51" s="19" t="n">
        <v>0</v>
      </c>
      <c r="O51" s="9" t="n">
        <f aca="false">INDEX(Campaigns!$W$6:$W$45,MATCH($C51,Campaigns!$A$6:$A$45,0))</f>
        <v>0</v>
      </c>
      <c r="P51" s="9" t="n">
        <f aca="false">INDEX(Campaigns!$Y$6:$Y$45,MATCH($C51,Campaigns!$A$6:$A$45,0))</f>
        <v>0</v>
      </c>
      <c r="Q51" s="7" t="n">
        <f aca="false">INDEX(Campaigns!$X$6:$X$45,MATCH($C51,Campaigns!$A$6:$A$45,0))</f>
        <v>0</v>
      </c>
      <c r="R51" s="7" t="n">
        <f aca="false">IF(I51=0,J51,0)</f>
        <v>24.07</v>
      </c>
      <c r="S51" s="20" t="str">
        <f aca="false">IF(INDEX(Campaigns!$J$6:$J$45,MATCH($C51,Campaigns!$A$6:$A$45,0))="","",INDEX(Campaigns!$J$6:$J$45,MATCH($C51,Campaigns!$A$6:$A$45,0)))</f>
        <v/>
      </c>
      <c r="T51" s="9" t="str">
        <f aca="false">IFERROR(INDEX('Search Terms'!$C$5:$C$137,MATCH($E51,'Search Terms'!$A$5:$A$137,0)),"")</f>
        <v/>
      </c>
      <c r="U51" s="8" t="str">
        <f aca="false">IFERROR(INDEX('Search Terms'!$B$5:$B$137,MATCH($E51,'Search Terms'!$A$5:$A$137,0)),"")</f>
        <v/>
      </c>
      <c r="V51" s="8" t="str">
        <f aca="false">IFERROR(INDEX('Search Terms'!$D$5:$D$137,MATCH($E51,'Search Terms'!$A$5:$A$137,0)),"")</f>
        <v/>
      </c>
      <c r="W51" s="17" t="s">
        <v>199</v>
      </c>
      <c r="X51" s="17" t="s">
        <v>231</v>
      </c>
      <c r="Y51" s="17" t="s">
        <v>232</v>
      </c>
      <c r="Z51" s="8" t="s">
        <v>126</v>
      </c>
      <c r="AA51" s="21"/>
    </row>
    <row r="52" customFormat="false" ht="15" hidden="false" customHeight="false" outlineLevel="0" collapsed="false">
      <c r="A52" s="17" t="s">
        <v>96</v>
      </c>
      <c r="B52" s="17" t="s">
        <v>233</v>
      </c>
      <c r="C52" s="18" t="s">
        <v>234</v>
      </c>
      <c r="D52" s="8" t="str">
        <f aca="false">INDEX(Campaigns!$D$6:$D$45,MATCH($C52,Campaigns!$A$6:$A$45,0))</f>
        <v>SP Exact keyword</v>
      </c>
      <c r="E52" s="8" t="s">
        <v>233</v>
      </c>
      <c r="F52" s="8" t="str">
        <f aca="false">INDEX(Campaigns!$H$6:$H$45,MATCH($C52,Campaigns!$A$6:$A$45,0))</f>
        <v>PAUSED</v>
      </c>
      <c r="G52" s="8" t="str">
        <f aca="false">INDEX(Campaigns!$AU$6:$AU$45,MATCH($C52,Campaigns!$A$6:$A$45,0))</f>
        <v>PAUSED</v>
      </c>
      <c r="H52" s="9" t="n">
        <f aca="false">INDEX(Campaigns!$N$6:$N$45,MATCH($C52,Campaigns!$A$6:$A$45,0))</f>
        <v>18</v>
      </c>
      <c r="I52" s="9" t="n">
        <f aca="false">INDEX(Campaigns!$P$6:$P$45,MATCH($C52,Campaigns!$A$6:$A$45,0))</f>
        <v>0</v>
      </c>
      <c r="J52" s="7" t="n">
        <f aca="false">INDEX(Campaigns!$O$6:$O$45,MATCH($C52,Campaigns!$A$6:$A$45,0))</f>
        <v>20.86</v>
      </c>
      <c r="K52" s="10" t="str">
        <f aca="false">INDEX(Campaigns!$U$6:$U$45,MATCH($C52,Campaigns!$A$6:$A$45,0))</f>
        <v/>
      </c>
      <c r="L52" s="7" t="n">
        <f aca="false">INDEX(Campaigns!$T$6:$T$45,MATCH($C52,Campaigns!$A$6:$A$45,0))</f>
        <v>1.15888888888889</v>
      </c>
      <c r="M52" s="9" t="n">
        <f aca="false">INDEX(Campaigns!$AH$6:$AH$45,MATCH($C52,Campaigns!$A$6:$A$45,0))+INDEX(Campaigns!$AJ$6:$AJ$45,MATCH($C52,Campaigns!$A$6:$A$45,0))+INDEX(Campaigns!$AL$6:$AL$45,MATCH($C52,Campaigns!$A$6:$A$45,0))</f>
        <v>18</v>
      </c>
      <c r="N52" s="19" t="n">
        <v>0</v>
      </c>
      <c r="O52" s="9" t="n">
        <f aca="false">INDEX(Campaigns!$W$6:$W$45,MATCH($C52,Campaigns!$A$6:$A$45,0))</f>
        <v>8</v>
      </c>
      <c r="P52" s="9" t="n">
        <f aca="false">INDEX(Campaigns!$Y$6:$Y$45,MATCH($C52,Campaigns!$A$6:$A$45,0))</f>
        <v>0</v>
      </c>
      <c r="Q52" s="7" t="n">
        <f aca="false">INDEX(Campaigns!$X$6:$X$45,MATCH($C52,Campaigns!$A$6:$A$45,0))</f>
        <v>8.91</v>
      </c>
      <c r="R52" s="7" t="n">
        <f aca="false">IF(I52=0,J52,0)</f>
        <v>20.86</v>
      </c>
      <c r="S52" s="20" t="str">
        <f aca="false">IF(INDEX(Campaigns!$J$6:$J$45,MATCH($C52,Campaigns!$A$6:$A$45,0))="","",INDEX(Campaigns!$J$6:$J$45,MATCH($C52,Campaigns!$A$6:$A$45,0)))</f>
        <v/>
      </c>
      <c r="T52" s="9" t="n">
        <f aca="false">IFERROR(INDEX('Search Terms'!$C$5:$C$137,MATCH($E52,'Search Terms'!$A$5:$A$137,0)),"")</f>
        <v>526</v>
      </c>
      <c r="U52" s="8" t="str">
        <f aca="false">IFERROR(INDEX('Search Terms'!$B$5:$B$137,MATCH($E52,'Search Terms'!$A$5:$A$137,0)),"")</f>
        <v>Relevant</v>
      </c>
      <c r="V52" s="8" t="n">
        <f aca="false">IFERROR(INDEX('Search Terms'!$D$5:$D$137,MATCH($E52,'Search Terms'!$A$5:$A$137,0)),"")</f>
        <v>101</v>
      </c>
      <c r="W52" s="17" t="s">
        <v>199</v>
      </c>
      <c r="X52" s="17" t="s">
        <v>235</v>
      </c>
      <c r="Y52" s="17" t="s">
        <v>236</v>
      </c>
      <c r="Z52" s="8" t="s">
        <v>126</v>
      </c>
      <c r="AA52" s="21"/>
    </row>
    <row r="53" customFormat="false" ht="15" hidden="false" customHeight="false" outlineLevel="0" collapsed="false">
      <c r="A53" s="17" t="s">
        <v>96</v>
      </c>
      <c r="B53" s="17" t="s">
        <v>237</v>
      </c>
      <c r="C53" s="18" t="s">
        <v>238</v>
      </c>
      <c r="D53" s="8" t="str">
        <f aca="false">INDEX(Campaigns!$D$6:$D$45,MATCH($C53,Campaigns!$A$6:$A$45,0))</f>
        <v>SP Exact keyword</v>
      </c>
      <c r="E53" s="8" t="s">
        <v>237</v>
      </c>
      <c r="F53" s="8" t="str">
        <f aca="false">INDEX(Campaigns!$H$6:$H$45,MATCH($C53,Campaigns!$A$6:$A$45,0))</f>
        <v>PAUSED</v>
      </c>
      <c r="G53" s="8" t="str">
        <f aca="false">INDEX(Campaigns!$AU$6:$AU$45,MATCH($C53,Campaigns!$A$6:$A$45,0))</f>
        <v>PAUSED</v>
      </c>
      <c r="H53" s="9" t="n">
        <f aca="false">INDEX(Campaigns!$N$6:$N$45,MATCH($C53,Campaigns!$A$6:$A$45,0))</f>
        <v>43</v>
      </c>
      <c r="I53" s="9" t="n">
        <f aca="false">INDEX(Campaigns!$P$6:$P$45,MATCH($C53,Campaigns!$A$6:$A$45,0))</f>
        <v>0</v>
      </c>
      <c r="J53" s="7" t="n">
        <f aca="false">INDEX(Campaigns!$O$6:$O$45,MATCH($C53,Campaigns!$A$6:$A$45,0))</f>
        <v>19.66</v>
      </c>
      <c r="K53" s="10" t="str">
        <f aca="false">INDEX(Campaigns!$U$6:$U$45,MATCH($C53,Campaigns!$A$6:$A$45,0))</f>
        <v/>
      </c>
      <c r="L53" s="7" t="n">
        <f aca="false">INDEX(Campaigns!$T$6:$T$45,MATCH($C53,Campaigns!$A$6:$A$45,0))</f>
        <v>0.457209302325581</v>
      </c>
      <c r="M53" s="9" t="n">
        <f aca="false">INDEX(Campaigns!$AH$6:$AH$45,MATCH($C53,Campaigns!$A$6:$A$45,0))+INDEX(Campaigns!$AJ$6:$AJ$45,MATCH($C53,Campaigns!$A$6:$A$45,0))+INDEX(Campaigns!$AL$6:$AL$45,MATCH($C53,Campaigns!$A$6:$A$45,0))</f>
        <v>3</v>
      </c>
      <c r="N53" s="19" t="n">
        <v>0</v>
      </c>
      <c r="O53" s="9" t="n">
        <f aca="false">INDEX(Campaigns!$W$6:$W$45,MATCH($C53,Campaigns!$A$6:$A$45,0))</f>
        <v>0</v>
      </c>
      <c r="P53" s="9" t="n">
        <f aca="false">INDEX(Campaigns!$Y$6:$Y$45,MATCH($C53,Campaigns!$A$6:$A$45,0))</f>
        <v>0</v>
      </c>
      <c r="Q53" s="7" t="n">
        <f aca="false">INDEX(Campaigns!$X$6:$X$45,MATCH($C53,Campaigns!$A$6:$A$45,0))</f>
        <v>0</v>
      </c>
      <c r="R53" s="7" t="n">
        <f aca="false">IF(I53=0,J53,0)</f>
        <v>19.66</v>
      </c>
      <c r="S53" s="20" t="str">
        <f aca="false">IF(INDEX(Campaigns!$J$6:$J$45,MATCH($C53,Campaigns!$A$6:$A$45,0))="","",INDEX(Campaigns!$J$6:$J$45,MATCH($C53,Campaigns!$A$6:$A$45,0)))</f>
        <v/>
      </c>
      <c r="T53" s="9" t="n">
        <f aca="false">IFERROR(INDEX('Search Terms'!$C$5:$C$137,MATCH($E53,'Search Terms'!$A$5:$A$137,0)),"")</f>
        <v>380</v>
      </c>
      <c r="U53" s="8" t="str">
        <f aca="false">IFERROR(INDEX('Search Terms'!$B$5:$B$137,MATCH($E53,'Search Terms'!$A$5:$A$137,0)),"")</f>
        <v>Lower Relevant</v>
      </c>
      <c r="V53" s="8" t="n">
        <f aca="false">IFERROR(INDEX('Search Terms'!$D$5:$D$137,MATCH($E53,'Search Terms'!$A$5:$A$137,0)),"")</f>
        <v>0</v>
      </c>
      <c r="W53" s="17" t="s">
        <v>199</v>
      </c>
      <c r="X53" s="17" t="s">
        <v>239</v>
      </c>
      <c r="Y53" s="17" t="s">
        <v>240</v>
      </c>
      <c r="Z53" s="8" t="s">
        <v>126</v>
      </c>
      <c r="AA53" s="21"/>
    </row>
    <row r="54" customFormat="false" ht="25.35" hidden="false" customHeight="false" outlineLevel="0" collapsed="false">
      <c r="A54" s="17" t="s">
        <v>96</v>
      </c>
      <c r="B54" s="17" t="s">
        <v>241</v>
      </c>
      <c r="C54" s="18" t="s">
        <v>242</v>
      </c>
      <c r="D54" s="8" t="str">
        <f aca="false">INDEX(Campaigns!$D$6:$D$45,MATCH($C54,Campaigns!$A$6:$A$45,0))</f>
        <v>SP Product targeting</v>
      </c>
      <c r="E54" s="8" t="s">
        <v>243</v>
      </c>
      <c r="F54" s="8" t="str">
        <f aca="false">INDEX(Campaigns!$H$6:$H$45,MATCH($C54,Campaigns!$A$6:$A$45,0))</f>
        <v>PAUSED</v>
      </c>
      <c r="G54" s="8" t="str">
        <f aca="false">INDEX(Campaigns!$AU$6:$AU$45,MATCH($C54,Campaigns!$A$6:$A$45,0))</f>
        <v>PAUSED</v>
      </c>
      <c r="H54" s="9" t="n">
        <f aca="false">INDEX(Campaigns!$N$6:$N$45,MATCH($C54,Campaigns!$A$6:$A$45,0))</f>
        <v>33</v>
      </c>
      <c r="I54" s="9" t="n">
        <f aca="false">INDEX(Campaigns!$P$6:$P$45,MATCH($C54,Campaigns!$A$6:$A$45,0))</f>
        <v>0</v>
      </c>
      <c r="J54" s="7" t="n">
        <f aca="false">INDEX(Campaigns!$O$6:$O$45,MATCH($C54,Campaigns!$A$6:$A$45,0))</f>
        <v>19.32</v>
      </c>
      <c r="K54" s="10" t="str">
        <f aca="false">INDEX(Campaigns!$U$6:$U$45,MATCH($C54,Campaigns!$A$6:$A$45,0))</f>
        <v/>
      </c>
      <c r="L54" s="7" t="n">
        <f aca="false">INDEX(Campaigns!$T$6:$T$45,MATCH($C54,Campaigns!$A$6:$A$45,0))</f>
        <v>0.585454545454545</v>
      </c>
      <c r="M54" s="9" t="n">
        <f aca="false">INDEX(Campaigns!$AH$6:$AH$45,MATCH($C54,Campaigns!$A$6:$A$45,0))+INDEX(Campaigns!$AJ$6:$AJ$45,MATCH($C54,Campaigns!$A$6:$A$45,0))+INDEX(Campaigns!$AL$6:$AL$45,MATCH($C54,Campaigns!$A$6:$A$45,0))</f>
        <v>33</v>
      </c>
      <c r="N54" s="19" t="n">
        <v>0</v>
      </c>
      <c r="O54" s="9" t="n">
        <f aca="false">INDEX(Campaigns!$W$6:$W$45,MATCH($C54,Campaigns!$A$6:$A$45,0))</f>
        <v>29</v>
      </c>
      <c r="P54" s="9" t="n">
        <f aca="false">INDEX(Campaigns!$Y$6:$Y$45,MATCH($C54,Campaigns!$A$6:$A$45,0))</f>
        <v>0</v>
      </c>
      <c r="Q54" s="7" t="n">
        <f aca="false">INDEX(Campaigns!$X$6:$X$45,MATCH($C54,Campaigns!$A$6:$A$45,0))</f>
        <v>16.96</v>
      </c>
      <c r="R54" s="7" t="n">
        <f aca="false">IF(I54=0,J54,0)</f>
        <v>19.32</v>
      </c>
      <c r="S54" s="20" t="str">
        <f aca="false">IF(INDEX(Campaigns!$J$6:$J$45,MATCH($C54,Campaigns!$A$6:$A$45,0))="","",INDEX(Campaigns!$J$6:$J$45,MATCH($C54,Campaigns!$A$6:$A$45,0)))</f>
        <v/>
      </c>
      <c r="T54" s="9" t="n">
        <f aca="false">IFERROR(INDEX('Search Terms'!$C$5:$C$137,MATCH($E54,'Search Terms'!$A$5:$A$137,0)),"")</f>
        <v>0</v>
      </c>
      <c r="U54" s="8" t="str">
        <f aca="false">IFERROR(INDEX('Search Terms'!$B$5:$B$137,MATCH($E54,'Search Terms'!$A$5:$A$137,0)),"")</f>
        <v>Not Relevant</v>
      </c>
      <c r="V54" s="8" t="n">
        <f aca="false">IFERROR(INDEX('Search Terms'!$D$5:$D$137,MATCH($E54,'Search Terms'!$A$5:$A$137,0)),"")</f>
        <v>0</v>
      </c>
      <c r="W54" s="17" t="s">
        <v>199</v>
      </c>
      <c r="X54" s="17" t="s">
        <v>244</v>
      </c>
      <c r="Y54" s="17" t="s">
        <v>228</v>
      </c>
      <c r="Z54" s="8" t="s">
        <v>126</v>
      </c>
      <c r="AA54" s="21"/>
    </row>
    <row r="55" customFormat="false" ht="25.35" hidden="false" customHeight="false" outlineLevel="0" collapsed="false">
      <c r="A55" s="17" t="s">
        <v>96</v>
      </c>
      <c r="B55" s="17" t="s">
        <v>245</v>
      </c>
      <c r="C55" s="18" t="s">
        <v>246</v>
      </c>
      <c r="D55" s="8" t="str">
        <f aca="false">INDEX(Campaigns!$D$6:$D$45,MATCH($C55,Campaigns!$A$6:$A$45,0))</f>
        <v>SP Product targeting</v>
      </c>
      <c r="E55" s="8" t="s">
        <v>247</v>
      </c>
      <c r="F55" s="8" t="str">
        <f aca="false">INDEX(Campaigns!$H$6:$H$45,MATCH($C55,Campaigns!$A$6:$A$45,0))</f>
        <v>ENABLED</v>
      </c>
      <c r="G55" s="8" t="str">
        <f aca="false">INDEX(Campaigns!$AU$6:$AU$45,MATCH($C55,Campaigns!$A$6:$A$45,0))</f>
        <v>PAUSED</v>
      </c>
      <c r="H55" s="9" t="n">
        <f aca="false">INDEX(Campaigns!$N$6:$N$45,MATCH($C55,Campaigns!$A$6:$A$45,0))</f>
        <v>24</v>
      </c>
      <c r="I55" s="9" t="n">
        <f aca="false">INDEX(Campaigns!$P$6:$P$45,MATCH($C55,Campaigns!$A$6:$A$45,0))</f>
        <v>0</v>
      </c>
      <c r="J55" s="7" t="n">
        <f aca="false">INDEX(Campaigns!$O$6:$O$45,MATCH($C55,Campaigns!$A$6:$A$45,0))</f>
        <v>15.31</v>
      </c>
      <c r="K55" s="10" t="str">
        <f aca="false">INDEX(Campaigns!$U$6:$U$45,MATCH($C55,Campaigns!$A$6:$A$45,0))</f>
        <v/>
      </c>
      <c r="L55" s="7" t="n">
        <f aca="false">INDEX(Campaigns!$T$6:$T$45,MATCH($C55,Campaigns!$A$6:$A$45,0))</f>
        <v>0.637916666666667</v>
      </c>
      <c r="M55" s="9" t="n">
        <f aca="false">INDEX(Campaigns!$AH$6:$AH$45,MATCH($C55,Campaigns!$A$6:$A$45,0))+INDEX(Campaigns!$AJ$6:$AJ$45,MATCH($C55,Campaigns!$A$6:$A$45,0))+INDEX(Campaigns!$AL$6:$AL$45,MATCH($C55,Campaigns!$A$6:$A$45,0))</f>
        <v>24</v>
      </c>
      <c r="N55" s="19" t="n">
        <v>0</v>
      </c>
      <c r="O55" s="9" t="n">
        <f aca="false">INDEX(Campaigns!$W$6:$W$45,MATCH($C55,Campaigns!$A$6:$A$45,0))</f>
        <v>23</v>
      </c>
      <c r="P55" s="9" t="n">
        <f aca="false">INDEX(Campaigns!$Y$6:$Y$45,MATCH($C55,Campaigns!$A$6:$A$45,0))</f>
        <v>0</v>
      </c>
      <c r="Q55" s="7" t="n">
        <f aca="false">INDEX(Campaigns!$X$6:$X$45,MATCH($C55,Campaigns!$A$6:$A$45,0))</f>
        <v>14.66</v>
      </c>
      <c r="R55" s="7" t="n">
        <f aca="false">IF(I55=0,J55,0)</f>
        <v>15.31</v>
      </c>
      <c r="S55" s="20" t="n">
        <f aca="false">IF(INDEX(Campaigns!$J$6:$J$45,MATCH($C55,Campaigns!$A$6:$A$45,0))="","",INDEX(Campaigns!$J$6:$J$45,MATCH($C55,Campaigns!$A$6:$A$45,0)))</f>
        <v>0</v>
      </c>
      <c r="T55" s="9" t="n">
        <f aca="false">IFERROR(INDEX('Search Terms'!$C$5:$C$137,MATCH($E55,'Search Terms'!$A$5:$A$137,0)),"")</f>
        <v>0</v>
      </c>
      <c r="U55" s="8" t="str">
        <f aca="false">IFERROR(INDEX('Search Terms'!$B$5:$B$137,MATCH($E55,'Search Terms'!$A$5:$A$137,0)),"")</f>
        <v>Not Relevant</v>
      </c>
      <c r="V55" s="8" t="n">
        <f aca="false">IFERROR(INDEX('Search Terms'!$D$5:$D$137,MATCH($E55,'Search Terms'!$A$5:$A$137,0)),"")</f>
        <v>0</v>
      </c>
      <c r="W55" s="17" t="s">
        <v>204</v>
      </c>
      <c r="X55" s="17" t="s">
        <v>248</v>
      </c>
      <c r="Y55" s="17" t="s">
        <v>228</v>
      </c>
      <c r="Z55" s="8" t="s">
        <v>126</v>
      </c>
      <c r="AA55" s="21"/>
    </row>
    <row r="56" customFormat="false" ht="25.35" hidden="false" customHeight="false" outlineLevel="0" collapsed="false">
      <c r="A56" s="17" t="s">
        <v>96</v>
      </c>
      <c r="B56" s="17" t="s">
        <v>249</v>
      </c>
      <c r="C56" s="18" t="s">
        <v>250</v>
      </c>
      <c r="D56" s="8" t="str">
        <f aca="false">INDEX(Campaigns!$D$6:$D$45,MATCH($C56,Campaigns!$A$6:$A$45,0))</f>
        <v>SP Product targeting</v>
      </c>
      <c r="E56" s="8" t="s">
        <v>251</v>
      </c>
      <c r="F56" s="8" t="str">
        <f aca="false">INDEX(Campaigns!$H$6:$H$45,MATCH($C56,Campaigns!$A$6:$A$45,0))</f>
        <v>PAUSED</v>
      </c>
      <c r="G56" s="8" t="str">
        <f aca="false">INDEX(Campaigns!$AU$6:$AU$45,MATCH($C56,Campaigns!$A$6:$A$45,0))</f>
        <v>PAUSED</v>
      </c>
      <c r="H56" s="9" t="n">
        <f aca="false">INDEX(Campaigns!$N$6:$N$45,MATCH($C56,Campaigns!$A$6:$A$45,0))</f>
        <v>22</v>
      </c>
      <c r="I56" s="9" t="n">
        <f aca="false">INDEX(Campaigns!$P$6:$P$45,MATCH($C56,Campaigns!$A$6:$A$45,0))</f>
        <v>0</v>
      </c>
      <c r="J56" s="7" t="n">
        <f aca="false">INDEX(Campaigns!$O$6:$O$45,MATCH($C56,Campaigns!$A$6:$A$45,0))</f>
        <v>12.98</v>
      </c>
      <c r="K56" s="10" t="str">
        <f aca="false">INDEX(Campaigns!$U$6:$U$45,MATCH($C56,Campaigns!$A$6:$A$45,0))</f>
        <v/>
      </c>
      <c r="L56" s="7" t="n">
        <f aca="false">INDEX(Campaigns!$T$6:$T$45,MATCH($C56,Campaigns!$A$6:$A$45,0))</f>
        <v>0.59</v>
      </c>
      <c r="M56" s="9" t="n">
        <f aca="false">INDEX(Campaigns!$AH$6:$AH$45,MATCH($C56,Campaigns!$A$6:$A$45,0))+INDEX(Campaigns!$AJ$6:$AJ$45,MATCH($C56,Campaigns!$A$6:$A$45,0))+INDEX(Campaigns!$AL$6:$AL$45,MATCH($C56,Campaigns!$A$6:$A$45,0))</f>
        <v>22</v>
      </c>
      <c r="N56" s="19" t="n">
        <v>0</v>
      </c>
      <c r="O56" s="9" t="n">
        <f aca="false">INDEX(Campaigns!$W$6:$W$45,MATCH($C56,Campaigns!$A$6:$A$45,0))</f>
        <v>19</v>
      </c>
      <c r="P56" s="9" t="n">
        <f aca="false">INDEX(Campaigns!$Y$6:$Y$45,MATCH($C56,Campaigns!$A$6:$A$45,0))</f>
        <v>0</v>
      </c>
      <c r="Q56" s="7" t="n">
        <f aca="false">INDEX(Campaigns!$X$6:$X$45,MATCH($C56,Campaigns!$A$6:$A$45,0))</f>
        <v>11.21</v>
      </c>
      <c r="R56" s="7" t="n">
        <f aca="false">IF(I56=0,J56,0)</f>
        <v>12.98</v>
      </c>
      <c r="S56" s="20" t="str">
        <f aca="false">IF(INDEX(Campaigns!$J$6:$J$45,MATCH($C56,Campaigns!$A$6:$A$45,0))="","",INDEX(Campaigns!$J$6:$J$45,MATCH($C56,Campaigns!$A$6:$A$45,0)))</f>
        <v/>
      </c>
      <c r="T56" s="9" t="n">
        <f aca="false">IFERROR(INDEX('Search Terms'!$C$5:$C$137,MATCH($E56,'Search Terms'!$A$5:$A$137,0)),"")</f>
        <v>0</v>
      </c>
      <c r="U56" s="8" t="str">
        <f aca="false">IFERROR(INDEX('Search Terms'!$B$5:$B$137,MATCH($E56,'Search Terms'!$A$5:$A$137,0)),"")</f>
        <v>Not Relevant</v>
      </c>
      <c r="V56" s="8" t="n">
        <f aca="false">IFERROR(INDEX('Search Terms'!$D$5:$D$137,MATCH($E56,'Search Terms'!$A$5:$A$137,0)),"")</f>
        <v>0</v>
      </c>
      <c r="W56" s="17" t="s">
        <v>199</v>
      </c>
      <c r="X56" s="17" t="s">
        <v>252</v>
      </c>
      <c r="Y56" s="17" t="s">
        <v>228</v>
      </c>
      <c r="Z56" s="8" t="s">
        <v>126</v>
      </c>
      <c r="AA56" s="21"/>
    </row>
    <row r="57" customFormat="false" ht="15" hidden="false" customHeight="false" outlineLevel="0" collapsed="false">
      <c r="A57" s="17" t="s">
        <v>96</v>
      </c>
      <c r="B57" s="17" t="s">
        <v>253</v>
      </c>
      <c r="C57" s="18" t="s">
        <v>254</v>
      </c>
      <c r="D57" s="8" t="str">
        <f aca="false">INDEX(Campaigns!$D$6:$D$45,MATCH($C57,Campaigns!$A$6:$A$45,0))</f>
        <v>SP Exact keyword</v>
      </c>
      <c r="E57" s="8" t="s">
        <v>253</v>
      </c>
      <c r="F57" s="8" t="str">
        <f aca="false">INDEX(Campaigns!$H$6:$H$45,MATCH($C57,Campaigns!$A$6:$A$45,0))</f>
        <v>ENABLED</v>
      </c>
      <c r="G57" s="8" t="str">
        <f aca="false">INDEX(Campaigns!$AU$6:$AU$45,MATCH($C57,Campaigns!$A$6:$A$45,0))</f>
        <v>PAUSED</v>
      </c>
      <c r="H57" s="9" t="n">
        <f aca="false">INDEX(Campaigns!$N$6:$N$45,MATCH($C57,Campaigns!$A$6:$A$45,0))</f>
        <v>9</v>
      </c>
      <c r="I57" s="9" t="n">
        <f aca="false">INDEX(Campaigns!$P$6:$P$45,MATCH($C57,Campaigns!$A$6:$A$45,0))</f>
        <v>0</v>
      </c>
      <c r="J57" s="7" t="n">
        <f aca="false">INDEX(Campaigns!$O$6:$O$45,MATCH($C57,Campaigns!$A$6:$A$45,0))</f>
        <v>12.65</v>
      </c>
      <c r="K57" s="10" t="str">
        <f aca="false">INDEX(Campaigns!$U$6:$U$45,MATCH($C57,Campaigns!$A$6:$A$45,0))</f>
        <v/>
      </c>
      <c r="L57" s="7" t="n">
        <f aca="false">INDEX(Campaigns!$T$6:$T$45,MATCH($C57,Campaigns!$A$6:$A$45,0))</f>
        <v>1.40555555555556</v>
      </c>
      <c r="M57" s="9" t="n">
        <f aca="false">INDEX(Campaigns!$AH$6:$AH$45,MATCH($C57,Campaigns!$A$6:$A$45,0))+INDEX(Campaigns!$AJ$6:$AJ$45,MATCH($C57,Campaigns!$A$6:$A$45,0))+INDEX(Campaigns!$AL$6:$AL$45,MATCH($C57,Campaigns!$A$6:$A$45,0))</f>
        <v>9</v>
      </c>
      <c r="N57" s="19" t="n">
        <v>0</v>
      </c>
      <c r="O57" s="9" t="n">
        <f aca="false">INDEX(Campaigns!$W$6:$W$45,MATCH($C57,Campaigns!$A$6:$A$45,0))</f>
        <v>7</v>
      </c>
      <c r="P57" s="9" t="n">
        <f aca="false">INDEX(Campaigns!$Y$6:$Y$45,MATCH($C57,Campaigns!$A$6:$A$45,0))</f>
        <v>0</v>
      </c>
      <c r="Q57" s="7" t="n">
        <f aca="false">INDEX(Campaigns!$X$6:$X$45,MATCH($C57,Campaigns!$A$6:$A$45,0))</f>
        <v>9.25</v>
      </c>
      <c r="R57" s="7" t="n">
        <f aca="false">IF(I57=0,J57,0)</f>
        <v>12.65</v>
      </c>
      <c r="S57" s="20" t="n">
        <f aca="false">IF(INDEX(Campaigns!$J$6:$J$45,MATCH($C57,Campaigns!$A$6:$A$45,0))="","",INDEX(Campaigns!$J$6:$J$45,MATCH($C57,Campaigns!$A$6:$A$45,0)))</f>
        <v>3.8</v>
      </c>
      <c r="T57" s="9" t="n">
        <f aca="false">IFERROR(INDEX('Search Terms'!$C$5:$C$137,MATCH($E57,'Search Terms'!$A$5:$A$137,0)),"")</f>
        <v>48</v>
      </c>
      <c r="U57" s="8" t="str">
        <f aca="false">IFERROR(INDEX('Search Terms'!$B$5:$B$137,MATCH($E57,'Search Terms'!$A$5:$A$137,0)),"")</f>
        <v>Lower Relevant</v>
      </c>
      <c r="V57" s="8" t="n">
        <f aca="false">IFERROR(INDEX('Search Terms'!$D$5:$D$137,MATCH($E57,'Search Terms'!$A$5:$A$137,0)),"")</f>
        <v>43</v>
      </c>
      <c r="W57" s="17" t="s">
        <v>204</v>
      </c>
      <c r="X57" s="17" t="s">
        <v>255</v>
      </c>
      <c r="Y57" s="17" t="s">
        <v>236</v>
      </c>
      <c r="Z57" s="8" t="s">
        <v>126</v>
      </c>
      <c r="AA57" s="21"/>
    </row>
    <row r="58" customFormat="false" ht="15" hidden="false" customHeight="false" outlineLevel="0" collapsed="false">
      <c r="A58" s="17" t="s">
        <v>96</v>
      </c>
      <c r="B58" s="17" t="s">
        <v>256</v>
      </c>
      <c r="C58" s="18" t="s">
        <v>257</v>
      </c>
      <c r="D58" s="8" t="str">
        <f aca="false">INDEX(Campaigns!$D$6:$D$45,MATCH($C58,Campaigns!$A$6:$A$45,0))</f>
        <v>SP Exact keyword</v>
      </c>
      <c r="E58" s="8" t="s">
        <v>256</v>
      </c>
      <c r="F58" s="8" t="str">
        <f aca="false">INDEX(Campaigns!$H$6:$H$45,MATCH($C58,Campaigns!$A$6:$A$45,0))</f>
        <v>ENABLED</v>
      </c>
      <c r="G58" s="8" t="str">
        <f aca="false">INDEX(Campaigns!$AU$6:$AU$45,MATCH($C58,Campaigns!$A$6:$A$45,0))</f>
        <v>PAUSED</v>
      </c>
      <c r="H58" s="9" t="n">
        <f aca="false">INDEX(Campaigns!$N$6:$N$45,MATCH($C58,Campaigns!$A$6:$A$45,0))</f>
        <v>12</v>
      </c>
      <c r="I58" s="9" t="n">
        <f aca="false">INDEX(Campaigns!$P$6:$P$45,MATCH($C58,Campaigns!$A$6:$A$45,0))</f>
        <v>0</v>
      </c>
      <c r="J58" s="7" t="n">
        <f aca="false">INDEX(Campaigns!$O$6:$O$45,MATCH($C58,Campaigns!$A$6:$A$45,0))</f>
        <v>12.58</v>
      </c>
      <c r="K58" s="10" t="str">
        <f aca="false">INDEX(Campaigns!$U$6:$U$45,MATCH($C58,Campaigns!$A$6:$A$45,0))</f>
        <v/>
      </c>
      <c r="L58" s="7" t="n">
        <f aca="false">INDEX(Campaigns!$T$6:$T$45,MATCH($C58,Campaigns!$A$6:$A$45,0))</f>
        <v>1.04833333333333</v>
      </c>
      <c r="M58" s="9" t="n">
        <f aca="false">INDEX(Campaigns!$AH$6:$AH$45,MATCH($C58,Campaigns!$A$6:$A$45,0))+INDEX(Campaigns!$AJ$6:$AJ$45,MATCH($C58,Campaigns!$A$6:$A$45,0))+INDEX(Campaigns!$AL$6:$AL$45,MATCH($C58,Campaigns!$A$6:$A$45,0))</f>
        <v>12</v>
      </c>
      <c r="N58" s="19" t="n">
        <v>0</v>
      </c>
      <c r="O58" s="9" t="n">
        <f aca="false">INDEX(Campaigns!$W$6:$W$45,MATCH($C58,Campaigns!$A$6:$A$45,0))</f>
        <v>11</v>
      </c>
      <c r="P58" s="9" t="n">
        <f aca="false">INDEX(Campaigns!$Y$6:$Y$45,MATCH($C58,Campaigns!$A$6:$A$45,0))</f>
        <v>0</v>
      </c>
      <c r="Q58" s="7" t="n">
        <f aca="false">INDEX(Campaigns!$X$6:$X$45,MATCH($C58,Campaigns!$A$6:$A$45,0))</f>
        <v>11.04</v>
      </c>
      <c r="R58" s="7" t="n">
        <f aca="false">IF(I58=0,J58,0)</f>
        <v>12.58</v>
      </c>
      <c r="S58" s="20" t="n">
        <f aca="false">IF(INDEX(Campaigns!$J$6:$J$45,MATCH($C58,Campaigns!$A$6:$A$45,0))="","",INDEX(Campaigns!$J$6:$J$45,MATCH($C58,Campaigns!$A$6:$A$45,0)))</f>
        <v>3</v>
      </c>
      <c r="T58" s="9" t="n">
        <f aca="false">IFERROR(INDEX('Search Terms'!$C$5:$C$137,MATCH($E58,'Search Terms'!$A$5:$A$137,0)),"")</f>
        <v>392</v>
      </c>
      <c r="U58" s="8" t="str">
        <f aca="false">IFERROR(INDEX('Search Terms'!$B$5:$B$137,MATCH($E58,'Search Terms'!$A$5:$A$137,0)),"")</f>
        <v>Relevant</v>
      </c>
      <c r="V58" s="8" t="n">
        <f aca="false">IFERROR(INDEX('Search Terms'!$D$5:$D$137,MATCH($E58,'Search Terms'!$A$5:$A$137,0)),"")</f>
        <v>0</v>
      </c>
      <c r="W58" s="17" t="s">
        <v>204</v>
      </c>
      <c r="X58" s="17" t="s">
        <v>258</v>
      </c>
      <c r="Y58" s="17" t="s">
        <v>206</v>
      </c>
      <c r="Z58" s="8" t="s">
        <v>126</v>
      </c>
      <c r="AA58" s="21"/>
    </row>
    <row r="59" customFormat="false" ht="25.35" hidden="false" customHeight="false" outlineLevel="0" collapsed="false">
      <c r="A59" s="17" t="s">
        <v>96</v>
      </c>
      <c r="B59" s="17" t="s">
        <v>259</v>
      </c>
      <c r="C59" s="18" t="s">
        <v>260</v>
      </c>
      <c r="D59" s="8" t="str">
        <f aca="false">INDEX(Campaigns!$D$6:$D$45,MATCH($C59,Campaigns!$A$6:$A$45,0))</f>
        <v>SP Product targeting</v>
      </c>
      <c r="E59" s="8" t="s">
        <v>261</v>
      </c>
      <c r="F59" s="8" t="str">
        <f aca="false">INDEX(Campaigns!$H$6:$H$45,MATCH($C59,Campaigns!$A$6:$A$45,0))</f>
        <v>PAUSED</v>
      </c>
      <c r="G59" s="8" t="str">
        <f aca="false">INDEX(Campaigns!$AU$6:$AU$45,MATCH($C59,Campaigns!$A$6:$A$45,0))</f>
        <v>PAUSED</v>
      </c>
      <c r="H59" s="9" t="n">
        <f aca="false">INDEX(Campaigns!$N$6:$N$45,MATCH($C59,Campaigns!$A$6:$A$45,0))</f>
        <v>16</v>
      </c>
      <c r="I59" s="9" t="n">
        <f aca="false">INDEX(Campaigns!$P$6:$P$45,MATCH($C59,Campaigns!$A$6:$A$45,0))</f>
        <v>0</v>
      </c>
      <c r="J59" s="7" t="n">
        <f aca="false">INDEX(Campaigns!$O$6:$O$45,MATCH($C59,Campaigns!$A$6:$A$45,0))</f>
        <v>9.3</v>
      </c>
      <c r="K59" s="10" t="str">
        <f aca="false">INDEX(Campaigns!$U$6:$U$45,MATCH($C59,Campaigns!$A$6:$A$45,0))</f>
        <v/>
      </c>
      <c r="L59" s="7" t="n">
        <f aca="false">INDEX(Campaigns!$T$6:$T$45,MATCH($C59,Campaigns!$A$6:$A$45,0))</f>
        <v>0.58125</v>
      </c>
      <c r="M59" s="9" t="n">
        <f aca="false">INDEX(Campaigns!$AH$6:$AH$45,MATCH($C59,Campaigns!$A$6:$A$45,0))+INDEX(Campaigns!$AJ$6:$AJ$45,MATCH($C59,Campaigns!$A$6:$A$45,0))+INDEX(Campaigns!$AL$6:$AL$45,MATCH($C59,Campaigns!$A$6:$A$45,0))</f>
        <v>16</v>
      </c>
      <c r="N59" s="19" t="n">
        <v>0</v>
      </c>
      <c r="O59" s="9" t="n">
        <f aca="false">INDEX(Campaigns!$W$6:$W$45,MATCH($C59,Campaigns!$A$6:$A$45,0))</f>
        <v>10</v>
      </c>
      <c r="P59" s="9" t="n">
        <f aca="false">INDEX(Campaigns!$Y$6:$Y$45,MATCH($C59,Campaigns!$A$6:$A$45,0))</f>
        <v>0</v>
      </c>
      <c r="Q59" s="7" t="n">
        <f aca="false">INDEX(Campaigns!$X$6:$X$45,MATCH($C59,Campaigns!$A$6:$A$45,0))</f>
        <v>5.9</v>
      </c>
      <c r="R59" s="7" t="n">
        <f aca="false">IF(I59=0,J59,0)</f>
        <v>9.3</v>
      </c>
      <c r="S59" s="20" t="str">
        <f aca="false">IF(INDEX(Campaigns!$J$6:$J$45,MATCH($C59,Campaigns!$A$6:$A$45,0))="","",INDEX(Campaigns!$J$6:$J$45,MATCH($C59,Campaigns!$A$6:$A$45,0)))</f>
        <v/>
      </c>
      <c r="T59" s="9" t="n">
        <f aca="false">IFERROR(INDEX('Search Terms'!$C$5:$C$137,MATCH($E59,'Search Terms'!$A$5:$A$137,0)),"")</f>
        <v>0</v>
      </c>
      <c r="U59" s="8" t="str">
        <f aca="false">IFERROR(INDEX('Search Terms'!$B$5:$B$137,MATCH($E59,'Search Terms'!$A$5:$A$137,0)),"")</f>
        <v>Not Relevant</v>
      </c>
      <c r="V59" s="8" t="n">
        <f aca="false">IFERROR(INDEX('Search Terms'!$D$5:$D$137,MATCH($E59,'Search Terms'!$A$5:$A$137,0)),"")</f>
        <v>0</v>
      </c>
      <c r="W59" s="17" t="s">
        <v>199</v>
      </c>
      <c r="X59" s="17" t="s">
        <v>262</v>
      </c>
      <c r="Y59" s="17" t="s">
        <v>228</v>
      </c>
      <c r="Z59" s="8" t="s">
        <v>126</v>
      </c>
      <c r="AA59" s="21"/>
    </row>
    <row r="60" customFormat="false" ht="25.35" hidden="false" customHeight="false" outlineLevel="0" collapsed="false">
      <c r="A60" s="17" t="s">
        <v>96</v>
      </c>
      <c r="B60" s="17" t="s">
        <v>263</v>
      </c>
      <c r="C60" s="18" t="s">
        <v>264</v>
      </c>
      <c r="D60" s="8" t="str">
        <f aca="false">INDEX(Campaigns!$D$6:$D$45,MATCH($C60,Campaigns!$A$6:$A$45,0))</f>
        <v>SP Product targeting</v>
      </c>
      <c r="E60" s="8" t="s">
        <v>265</v>
      </c>
      <c r="F60" s="8" t="str">
        <f aca="false">INDEX(Campaigns!$H$6:$H$45,MATCH($C60,Campaigns!$A$6:$A$45,0))</f>
        <v>ENABLED</v>
      </c>
      <c r="G60" s="8" t="str">
        <f aca="false">INDEX(Campaigns!$AU$6:$AU$45,MATCH($C60,Campaigns!$A$6:$A$45,0))</f>
        <v>PAUSED</v>
      </c>
      <c r="H60" s="9" t="n">
        <f aca="false">INDEX(Campaigns!$N$6:$N$45,MATCH($C60,Campaigns!$A$6:$A$45,0))</f>
        <v>13</v>
      </c>
      <c r="I60" s="9" t="n">
        <f aca="false">INDEX(Campaigns!$P$6:$P$45,MATCH($C60,Campaigns!$A$6:$A$45,0))</f>
        <v>0</v>
      </c>
      <c r="J60" s="7" t="n">
        <f aca="false">INDEX(Campaigns!$O$6:$O$45,MATCH($C60,Campaigns!$A$6:$A$45,0))</f>
        <v>8.41</v>
      </c>
      <c r="K60" s="10" t="str">
        <f aca="false">INDEX(Campaigns!$U$6:$U$45,MATCH($C60,Campaigns!$A$6:$A$45,0))</f>
        <v/>
      </c>
      <c r="L60" s="7" t="n">
        <f aca="false">INDEX(Campaigns!$T$6:$T$45,MATCH($C60,Campaigns!$A$6:$A$45,0))</f>
        <v>0.646923076923077</v>
      </c>
      <c r="M60" s="9" t="n">
        <f aca="false">INDEX(Campaigns!$AH$6:$AH$45,MATCH($C60,Campaigns!$A$6:$A$45,0))+INDEX(Campaigns!$AJ$6:$AJ$45,MATCH($C60,Campaigns!$A$6:$A$45,0))+INDEX(Campaigns!$AL$6:$AL$45,MATCH($C60,Campaigns!$A$6:$A$45,0))</f>
        <v>13</v>
      </c>
      <c r="N60" s="19" t="n">
        <v>0</v>
      </c>
      <c r="O60" s="9" t="n">
        <f aca="false">INDEX(Campaigns!$W$6:$W$45,MATCH($C60,Campaigns!$A$6:$A$45,0))</f>
        <v>11</v>
      </c>
      <c r="P60" s="9" t="n">
        <f aca="false">INDEX(Campaigns!$Y$6:$Y$45,MATCH($C60,Campaigns!$A$6:$A$45,0))</f>
        <v>0</v>
      </c>
      <c r="Q60" s="7" t="n">
        <f aca="false">INDEX(Campaigns!$X$6:$X$45,MATCH($C60,Campaigns!$A$6:$A$45,0))</f>
        <v>7.11</v>
      </c>
      <c r="R60" s="7" t="n">
        <f aca="false">IF(I60=0,J60,0)</f>
        <v>8.41</v>
      </c>
      <c r="S60" s="20" t="n">
        <f aca="false">IF(INDEX(Campaigns!$J$6:$J$45,MATCH($C60,Campaigns!$A$6:$A$45,0))="","",INDEX(Campaigns!$J$6:$J$45,MATCH($C60,Campaigns!$A$6:$A$45,0)))</f>
        <v>0</v>
      </c>
      <c r="T60" s="9" t="n">
        <f aca="false">IFERROR(INDEX('Search Terms'!$C$5:$C$137,MATCH($E60,'Search Terms'!$A$5:$A$137,0)),"")</f>
        <v>0</v>
      </c>
      <c r="U60" s="8" t="str">
        <f aca="false">IFERROR(INDEX('Search Terms'!$B$5:$B$137,MATCH($E60,'Search Terms'!$A$5:$A$137,0)),"")</f>
        <v>Not Relevant</v>
      </c>
      <c r="V60" s="8" t="n">
        <f aca="false">IFERROR(INDEX('Search Terms'!$D$5:$D$137,MATCH($E60,'Search Terms'!$A$5:$A$137,0)),"")</f>
        <v>0</v>
      </c>
      <c r="W60" s="17" t="s">
        <v>204</v>
      </c>
      <c r="X60" s="17" t="s">
        <v>266</v>
      </c>
      <c r="Y60" s="17" t="s">
        <v>228</v>
      </c>
      <c r="Z60" s="8" t="s">
        <v>126</v>
      </c>
      <c r="AA60" s="21"/>
    </row>
    <row r="61" customFormat="false" ht="15" hidden="false" customHeight="false" outlineLevel="0" collapsed="false">
      <c r="A61" s="17" t="s">
        <v>96</v>
      </c>
      <c r="B61" s="17" t="s">
        <v>267</v>
      </c>
      <c r="C61" s="18" t="s">
        <v>268</v>
      </c>
      <c r="D61" s="8" t="str">
        <f aca="false">INDEX(Campaigns!$D$6:$D$45,MATCH($C61,Campaigns!$A$6:$A$45,0))</f>
        <v>SP Exact keyword</v>
      </c>
      <c r="E61" s="8" t="s">
        <v>267</v>
      </c>
      <c r="F61" s="8" t="str">
        <f aca="false">INDEX(Campaigns!$H$6:$H$45,MATCH($C61,Campaigns!$A$6:$A$45,0))</f>
        <v>ENABLED</v>
      </c>
      <c r="G61" s="8" t="str">
        <f aca="false">INDEX(Campaigns!$AU$6:$AU$45,MATCH($C61,Campaigns!$A$6:$A$45,0))</f>
        <v>PAUSED</v>
      </c>
      <c r="H61" s="9" t="n">
        <f aca="false">INDEX(Campaigns!$N$6:$N$45,MATCH($C61,Campaigns!$A$6:$A$45,0))</f>
        <v>6</v>
      </c>
      <c r="I61" s="9" t="n">
        <f aca="false">INDEX(Campaigns!$P$6:$P$45,MATCH($C61,Campaigns!$A$6:$A$45,0))</f>
        <v>0</v>
      </c>
      <c r="J61" s="7" t="n">
        <f aca="false">INDEX(Campaigns!$O$6:$O$45,MATCH($C61,Campaigns!$A$6:$A$45,0))</f>
        <v>8.13</v>
      </c>
      <c r="K61" s="10" t="str">
        <f aca="false">INDEX(Campaigns!$U$6:$U$45,MATCH($C61,Campaigns!$A$6:$A$45,0))</f>
        <v/>
      </c>
      <c r="L61" s="7" t="n">
        <f aca="false">INDEX(Campaigns!$T$6:$T$45,MATCH($C61,Campaigns!$A$6:$A$45,0))</f>
        <v>1.355</v>
      </c>
      <c r="M61" s="9" t="n">
        <f aca="false">INDEX(Campaigns!$AH$6:$AH$45,MATCH($C61,Campaigns!$A$6:$A$45,0))+INDEX(Campaigns!$AJ$6:$AJ$45,MATCH($C61,Campaigns!$A$6:$A$45,0))+INDEX(Campaigns!$AL$6:$AL$45,MATCH($C61,Campaigns!$A$6:$A$45,0))</f>
        <v>6</v>
      </c>
      <c r="N61" s="19" t="n">
        <v>0</v>
      </c>
      <c r="O61" s="9" t="n">
        <f aca="false">INDEX(Campaigns!$W$6:$W$45,MATCH($C61,Campaigns!$A$6:$A$45,0))</f>
        <v>3</v>
      </c>
      <c r="P61" s="9" t="n">
        <f aca="false">INDEX(Campaigns!$Y$6:$Y$45,MATCH($C61,Campaigns!$A$6:$A$45,0))</f>
        <v>0</v>
      </c>
      <c r="Q61" s="7" t="n">
        <f aca="false">INDEX(Campaigns!$X$6:$X$45,MATCH($C61,Campaigns!$A$6:$A$45,0))</f>
        <v>3.55</v>
      </c>
      <c r="R61" s="7" t="n">
        <f aca="false">IF(I61=0,J61,0)</f>
        <v>8.13</v>
      </c>
      <c r="S61" s="20" t="n">
        <f aca="false">IF(INDEX(Campaigns!$J$6:$J$45,MATCH($C61,Campaigns!$A$6:$A$45,0))="","",INDEX(Campaigns!$J$6:$J$45,MATCH($C61,Campaigns!$A$6:$A$45,0)))</f>
        <v>3.8</v>
      </c>
      <c r="T61" s="9" t="n">
        <f aca="false">IFERROR(INDEX('Search Terms'!$C$5:$C$137,MATCH($E61,'Search Terms'!$A$5:$A$137,0)),"")</f>
        <v>386</v>
      </c>
      <c r="U61" s="8" t="str">
        <f aca="false">IFERROR(INDEX('Search Terms'!$B$5:$B$137,MATCH($E61,'Search Terms'!$A$5:$A$137,0)),"")</f>
        <v>Lower Relevant</v>
      </c>
      <c r="V61" s="8" t="n">
        <f aca="false">IFERROR(INDEX('Search Terms'!$D$5:$D$137,MATCH($E61,'Search Terms'!$A$5:$A$137,0)),"")</f>
        <v>106</v>
      </c>
      <c r="W61" s="17" t="s">
        <v>204</v>
      </c>
      <c r="X61" s="17" t="s">
        <v>269</v>
      </c>
      <c r="Y61" s="17" t="s">
        <v>270</v>
      </c>
      <c r="Z61" s="8" t="s">
        <v>126</v>
      </c>
      <c r="AA61" s="21"/>
    </row>
    <row r="62" customFormat="false" ht="25.35" hidden="false" customHeight="false" outlineLevel="0" collapsed="false">
      <c r="A62" s="17" t="s">
        <v>96</v>
      </c>
      <c r="B62" s="17" t="s">
        <v>271</v>
      </c>
      <c r="C62" s="18" t="s">
        <v>272</v>
      </c>
      <c r="D62" s="8" t="str">
        <f aca="false">INDEX(Campaigns!$D$6:$D$45,MATCH($C62,Campaigns!$A$6:$A$45,0))</f>
        <v>SP Product targeting</v>
      </c>
      <c r="E62" s="8" t="s">
        <v>273</v>
      </c>
      <c r="F62" s="8" t="str">
        <f aca="false">INDEX(Campaigns!$H$6:$H$45,MATCH($C62,Campaigns!$A$6:$A$45,0))</f>
        <v>ENABLED</v>
      </c>
      <c r="G62" s="8" t="str">
        <f aca="false">INDEX(Campaigns!$AU$6:$AU$45,MATCH($C62,Campaigns!$A$6:$A$45,0))</f>
        <v>PAUSED</v>
      </c>
      <c r="H62" s="9" t="n">
        <f aca="false">INDEX(Campaigns!$N$6:$N$45,MATCH($C62,Campaigns!$A$6:$A$45,0))</f>
        <v>13</v>
      </c>
      <c r="I62" s="9" t="n">
        <f aca="false">INDEX(Campaigns!$P$6:$P$45,MATCH($C62,Campaigns!$A$6:$A$45,0))</f>
        <v>0</v>
      </c>
      <c r="J62" s="7" t="n">
        <f aca="false">INDEX(Campaigns!$O$6:$O$45,MATCH($C62,Campaigns!$A$6:$A$45,0))</f>
        <v>7.28</v>
      </c>
      <c r="K62" s="10" t="str">
        <f aca="false">INDEX(Campaigns!$U$6:$U$45,MATCH($C62,Campaigns!$A$6:$A$45,0))</f>
        <v/>
      </c>
      <c r="L62" s="7" t="n">
        <f aca="false">INDEX(Campaigns!$T$6:$T$45,MATCH($C62,Campaigns!$A$6:$A$45,0))</f>
        <v>0.56</v>
      </c>
      <c r="M62" s="9" t="n">
        <f aca="false">INDEX(Campaigns!$AH$6:$AH$45,MATCH($C62,Campaigns!$A$6:$A$45,0))+INDEX(Campaigns!$AJ$6:$AJ$45,MATCH($C62,Campaigns!$A$6:$A$45,0))+INDEX(Campaigns!$AL$6:$AL$45,MATCH($C62,Campaigns!$A$6:$A$45,0))</f>
        <v>13</v>
      </c>
      <c r="N62" s="19" t="n">
        <v>0</v>
      </c>
      <c r="O62" s="9" t="n">
        <f aca="false">INDEX(Campaigns!$W$6:$W$45,MATCH($C62,Campaigns!$A$6:$A$45,0))</f>
        <v>13</v>
      </c>
      <c r="P62" s="9" t="n">
        <f aca="false">INDEX(Campaigns!$Y$6:$Y$45,MATCH($C62,Campaigns!$A$6:$A$45,0))</f>
        <v>0</v>
      </c>
      <c r="Q62" s="7" t="n">
        <f aca="false">INDEX(Campaigns!$X$6:$X$45,MATCH($C62,Campaigns!$A$6:$A$45,0))</f>
        <v>7.28</v>
      </c>
      <c r="R62" s="7" t="n">
        <f aca="false">IF(I62=0,J62,0)</f>
        <v>7.28</v>
      </c>
      <c r="S62" s="20" t="n">
        <f aca="false">IF(INDEX(Campaigns!$J$6:$J$45,MATCH($C62,Campaigns!$A$6:$A$45,0))="","",INDEX(Campaigns!$J$6:$J$45,MATCH($C62,Campaigns!$A$6:$A$45,0)))</f>
        <v>0</v>
      </c>
      <c r="T62" s="9" t="n">
        <f aca="false">IFERROR(INDEX('Search Terms'!$C$5:$C$137,MATCH($E62,'Search Terms'!$A$5:$A$137,0)),"")</f>
        <v>0</v>
      </c>
      <c r="U62" s="8" t="str">
        <f aca="false">IFERROR(INDEX('Search Terms'!$B$5:$B$137,MATCH($E62,'Search Terms'!$A$5:$A$137,0)),"")</f>
        <v>Not Relevant</v>
      </c>
      <c r="V62" s="8" t="n">
        <f aca="false">IFERROR(INDEX('Search Terms'!$D$5:$D$137,MATCH($E62,'Search Terms'!$A$5:$A$137,0)),"")</f>
        <v>0</v>
      </c>
      <c r="W62" s="17" t="s">
        <v>204</v>
      </c>
      <c r="X62" s="17" t="s">
        <v>274</v>
      </c>
      <c r="Y62" s="17" t="s">
        <v>228</v>
      </c>
      <c r="Z62" s="8" t="s">
        <v>126</v>
      </c>
      <c r="AA62" s="21"/>
    </row>
    <row r="63" customFormat="false" ht="25.35" hidden="false" customHeight="false" outlineLevel="0" collapsed="false">
      <c r="A63" s="17" t="s">
        <v>96</v>
      </c>
      <c r="B63" s="17" t="s">
        <v>275</v>
      </c>
      <c r="C63" s="18" t="s">
        <v>276</v>
      </c>
      <c r="D63" s="8" t="str">
        <f aca="false">INDEX(Campaigns!$D$6:$D$45,MATCH($C63,Campaigns!$A$6:$A$45,0))</f>
        <v>SP Exact keyword</v>
      </c>
      <c r="E63" s="8" t="s">
        <v>275</v>
      </c>
      <c r="F63" s="8" t="str">
        <f aca="false">INDEX(Campaigns!$H$6:$H$45,MATCH($C63,Campaigns!$A$6:$A$45,0))</f>
        <v>ENABLED</v>
      </c>
      <c r="G63" s="8" t="str">
        <f aca="false">INDEX(Campaigns!$AU$6:$AU$45,MATCH($C63,Campaigns!$A$6:$A$45,0))</f>
        <v>PAUSED</v>
      </c>
      <c r="H63" s="9" t="n">
        <f aca="false">INDEX(Campaigns!$N$6:$N$45,MATCH($C63,Campaigns!$A$6:$A$45,0))</f>
        <v>2</v>
      </c>
      <c r="I63" s="9" t="n">
        <f aca="false">INDEX(Campaigns!$P$6:$P$45,MATCH($C63,Campaigns!$A$6:$A$45,0))</f>
        <v>0</v>
      </c>
      <c r="J63" s="7" t="n">
        <f aca="false">INDEX(Campaigns!$O$6:$O$45,MATCH($C63,Campaigns!$A$6:$A$45,0))</f>
        <v>6.03</v>
      </c>
      <c r="K63" s="10" t="str">
        <f aca="false">INDEX(Campaigns!$U$6:$U$45,MATCH($C63,Campaigns!$A$6:$A$45,0))</f>
        <v/>
      </c>
      <c r="L63" s="7" t="n">
        <f aca="false">INDEX(Campaigns!$T$6:$T$45,MATCH($C63,Campaigns!$A$6:$A$45,0))</f>
        <v>3.015</v>
      </c>
      <c r="M63" s="9" t="n">
        <f aca="false">INDEX(Campaigns!$AH$6:$AH$45,MATCH($C63,Campaigns!$A$6:$A$45,0))+INDEX(Campaigns!$AJ$6:$AJ$45,MATCH($C63,Campaigns!$A$6:$A$45,0))+INDEX(Campaigns!$AL$6:$AL$45,MATCH($C63,Campaigns!$A$6:$A$45,0))</f>
        <v>2</v>
      </c>
      <c r="N63" s="19" t="n">
        <v>0</v>
      </c>
      <c r="O63" s="9" t="n">
        <f aca="false">INDEX(Campaigns!$W$6:$W$45,MATCH($C63,Campaigns!$A$6:$A$45,0))</f>
        <v>0</v>
      </c>
      <c r="P63" s="9" t="n">
        <f aca="false">INDEX(Campaigns!$Y$6:$Y$45,MATCH($C63,Campaigns!$A$6:$A$45,0))</f>
        <v>0</v>
      </c>
      <c r="Q63" s="7" t="n">
        <f aca="false">INDEX(Campaigns!$X$6:$X$45,MATCH($C63,Campaigns!$A$6:$A$45,0))</f>
        <v>0</v>
      </c>
      <c r="R63" s="7" t="n">
        <f aca="false">IF(I63=0,J63,0)</f>
        <v>6.03</v>
      </c>
      <c r="S63" s="20" t="n">
        <f aca="false">IF(INDEX(Campaigns!$J$6:$J$45,MATCH($C63,Campaigns!$A$6:$A$45,0))="","",INDEX(Campaigns!$J$6:$J$45,MATCH($C63,Campaigns!$A$6:$A$45,0)))</f>
        <v>4.4</v>
      </c>
      <c r="T63" s="9" t="n">
        <f aca="false">IFERROR(INDEX('Search Terms'!$C$5:$C$137,MATCH($E63,'Search Terms'!$A$5:$A$137,0)),"")</f>
        <v>644</v>
      </c>
      <c r="U63" s="8" t="str">
        <f aca="false">IFERROR(INDEX('Search Terms'!$B$5:$B$137,MATCH($E63,'Search Terms'!$A$5:$A$137,0)),"")</f>
        <v>Lower Relevant</v>
      </c>
      <c r="V63" s="8" t="n">
        <f aca="false">IFERROR(INDEX('Search Terms'!$D$5:$D$137,MATCH($E63,'Search Terms'!$A$5:$A$137,0)),"")</f>
        <v>0</v>
      </c>
      <c r="W63" s="17" t="s">
        <v>204</v>
      </c>
      <c r="X63" s="17" t="s">
        <v>277</v>
      </c>
      <c r="Y63" s="17" t="s">
        <v>278</v>
      </c>
      <c r="Z63" s="8" t="s">
        <v>126</v>
      </c>
      <c r="AA63" s="21"/>
    </row>
    <row r="64" customFormat="false" ht="25.35" hidden="false" customHeight="false" outlineLevel="0" collapsed="false">
      <c r="A64" s="17" t="s">
        <v>96</v>
      </c>
      <c r="B64" s="17" t="s">
        <v>279</v>
      </c>
      <c r="C64" s="18" t="s">
        <v>280</v>
      </c>
      <c r="D64" s="8" t="str">
        <f aca="false">INDEX(Campaigns!$D$6:$D$45,MATCH($C64,Campaigns!$A$6:$A$45,0))</f>
        <v>SP Product targeting</v>
      </c>
      <c r="E64" s="8" t="s">
        <v>281</v>
      </c>
      <c r="F64" s="8" t="str">
        <f aca="false">INDEX(Campaigns!$H$6:$H$45,MATCH($C64,Campaigns!$A$6:$A$45,0))</f>
        <v>ENABLED</v>
      </c>
      <c r="G64" s="8" t="str">
        <f aca="false">INDEX(Campaigns!$AU$6:$AU$45,MATCH($C64,Campaigns!$A$6:$A$45,0))</f>
        <v>PAUSED</v>
      </c>
      <c r="H64" s="9" t="n">
        <f aca="false">INDEX(Campaigns!$N$6:$N$45,MATCH($C64,Campaigns!$A$6:$A$45,0))</f>
        <v>4</v>
      </c>
      <c r="I64" s="9" t="n">
        <f aca="false">INDEX(Campaigns!$P$6:$P$45,MATCH($C64,Campaigns!$A$6:$A$45,0))</f>
        <v>0</v>
      </c>
      <c r="J64" s="7" t="n">
        <f aca="false">INDEX(Campaigns!$O$6:$O$45,MATCH($C64,Campaigns!$A$6:$A$45,0))</f>
        <v>2.36</v>
      </c>
      <c r="K64" s="10" t="str">
        <f aca="false">INDEX(Campaigns!$U$6:$U$45,MATCH($C64,Campaigns!$A$6:$A$45,0))</f>
        <v/>
      </c>
      <c r="L64" s="7" t="n">
        <f aca="false">INDEX(Campaigns!$T$6:$T$45,MATCH($C64,Campaigns!$A$6:$A$45,0))</f>
        <v>0.59</v>
      </c>
      <c r="M64" s="9" t="n">
        <f aca="false">INDEX(Campaigns!$AH$6:$AH$45,MATCH($C64,Campaigns!$A$6:$A$45,0))+INDEX(Campaigns!$AJ$6:$AJ$45,MATCH($C64,Campaigns!$A$6:$A$45,0))+INDEX(Campaigns!$AL$6:$AL$45,MATCH($C64,Campaigns!$A$6:$A$45,0))</f>
        <v>4</v>
      </c>
      <c r="N64" s="19" t="n">
        <v>0</v>
      </c>
      <c r="O64" s="9" t="n">
        <f aca="false">INDEX(Campaigns!$W$6:$W$45,MATCH($C64,Campaigns!$A$6:$A$45,0))</f>
        <v>4</v>
      </c>
      <c r="P64" s="9" t="n">
        <f aca="false">INDEX(Campaigns!$Y$6:$Y$45,MATCH($C64,Campaigns!$A$6:$A$45,0))</f>
        <v>0</v>
      </c>
      <c r="Q64" s="7" t="n">
        <f aca="false">INDEX(Campaigns!$X$6:$X$45,MATCH($C64,Campaigns!$A$6:$A$45,0))</f>
        <v>2.36</v>
      </c>
      <c r="R64" s="7" t="n">
        <f aca="false">IF(I64=0,J64,0)</f>
        <v>2.36</v>
      </c>
      <c r="S64" s="20" t="n">
        <f aca="false">IF(INDEX(Campaigns!$J$6:$J$45,MATCH($C64,Campaigns!$A$6:$A$45,0))="","",INDEX(Campaigns!$J$6:$J$45,MATCH($C64,Campaigns!$A$6:$A$45,0)))</f>
        <v>0</v>
      </c>
      <c r="T64" s="9" t="n">
        <f aca="false">IFERROR(INDEX('Search Terms'!$C$5:$C$137,MATCH($E64,'Search Terms'!$A$5:$A$137,0)),"")</f>
        <v>0</v>
      </c>
      <c r="U64" s="8" t="str">
        <f aca="false">IFERROR(INDEX('Search Terms'!$B$5:$B$137,MATCH($E64,'Search Terms'!$A$5:$A$137,0)),"")</f>
        <v>Not Relevant</v>
      </c>
      <c r="V64" s="8" t="n">
        <f aca="false">IFERROR(INDEX('Search Terms'!$D$5:$D$137,MATCH($E64,'Search Terms'!$A$5:$A$137,0)),"")</f>
        <v>0</v>
      </c>
      <c r="W64" s="17" t="s">
        <v>204</v>
      </c>
      <c r="X64" s="17" t="s">
        <v>282</v>
      </c>
      <c r="Y64" s="17" t="s">
        <v>228</v>
      </c>
      <c r="Z64" s="8" t="s">
        <v>126</v>
      </c>
      <c r="AA64" s="21"/>
    </row>
    <row r="65" customFormat="false" ht="25.35" hidden="false" customHeight="false" outlineLevel="0" collapsed="false">
      <c r="A65" s="17" t="s">
        <v>96</v>
      </c>
      <c r="B65" s="17" t="s">
        <v>283</v>
      </c>
      <c r="C65" s="18" t="s">
        <v>284</v>
      </c>
      <c r="D65" s="8" t="str">
        <f aca="false">INDEX(Campaigns!$D$6:$D$45,MATCH($C65,Campaigns!$A$6:$A$45,0))</f>
        <v>SP Product targeting</v>
      </c>
      <c r="E65" s="8" t="s">
        <v>285</v>
      </c>
      <c r="F65" s="8" t="str">
        <f aca="false">INDEX(Campaigns!$H$6:$H$45,MATCH($C65,Campaigns!$A$6:$A$45,0))</f>
        <v>ENABLED</v>
      </c>
      <c r="G65" s="8" t="str">
        <f aca="false">INDEX(Campaigns!$AU$6:$AU$45,MATCH($C65,Campaigns!$A$6:$A$45,0))</f>
        <v>PAUSED</v>
      </c>
      <c r="H65" s="9" t="n">
        <f aca="false">INDEX(Campaigns!$N$6:$N$45,MATCH($C65,Campaigns!$A$6:$A$45,0))</f>
        <v>1</v>
      </c>
      <c r="I65" s="9" t="n">
        <f aca="false">INDEX(Campaigns!$P$6:$P$45,MATCH($C65,Campaigns!$A$6:$A$45,0))</f>
        <v>0</v>
      </c>
      <c r="J65" s="7" t="n">
        <f aca="false">INDEX(Campaigns!$O$6:$O$45,MATCH($C65,Campaigns!$A$6:$A$45,0))</f>
        <v>0.59</v>
      </c>
      <c r="K65" s="10" t="str">
        <f aca="false">INDEX(Campaigns!$U$6:$U$45,MATCH($C65,Campaigns!$A$6:$A$45,0))</f>
        <v/>
      </c>
      <c r="L65" s="7" t="n">
        <f aca="false">INDEX(Campaigns!$T$6:$T$45,MATCH($C65,Campaigns!$A$6:$A$45,0))</f>
        <v>0.59</v>
      </c>
      <c r="M65" s="9" t="n">
        <f aca="false">INDEX(Campaigns!$AH$6:$AH$45,MATCH($C65,Campaigns!$A$6:$A$45,0))+INDEX(Campaigns!$AJ$6:$AJ$45,MATCH($C65,Campaigns!$A$6:$A$45,0))+INDEX(Campaigns!$AL$6:$AL$45,MATCH($C65,Campaigns!$A$6:$A$45,0))</f>
        <v>1</v>
      </c>
      <c r="N65" s="19" t="n">
        <v>0</v>
      </c>
      <c r="O65" s="9" t="n">
        <f aca="false">INDEX(Campaigns!$W$6:$W$45,MATCH($C65,Campaigns!$A$6:$A$45,0))</f>
        <v>1</v>
      </c>
      <c r="P65" s="9" t="n">
        <f aca="false">INDEX(Campaigns!$Y$6:$Y$45,MATCH($C65,Campaigns!$A$6:$A$45,0))</f>
        <v>0</v>
      </c>
      <c r="Q65" s="7" t="n">
        <f aca="false">INDEX(Campaigns!$X$6:$X$45,MATCH($C65,Campaigns!$A$6:$A$45,0))</f>
        <v>0.59</v>
      </c>
      <c r="R65" s="7" t="n">
        <f aca="false">IF(I65=0,J65,0)</f>
        <v>0.59</v>
      </c>
      <c r="S65" s="20" t="n">
        <f aca="false">IF(INDEX(Campaigns!$J$6:$J$45,MATCH($C65,Campaigns!$A$6:$A$45,0))="","",INDEX(Campaigns!$J$6:$J$45,MATCH($C65,Campaigns!$A$6:$A$45,0)))</f>
        <v>0</v>
      </c>
      <c r="T65" s="9" t="n">
        <f aca="false">IFERROR(INDEX('Search Terms'!$C$5:$C$137,MATCH($E65,'Search Terms'!$A$5:$A$137,0)),"")</f>
        <v>0</v>
      </c>
      <c r="U65" s="8" t="str">
        <f aca="false">IFERROR(INDEX('Search Terms'!$B$5:$B$137,MATCH($E65,'Search Terms'!$A$5:$A$137,0)),"")</f>
        <v>Not Relevant</v>
      </c>
      <c r="V65" s="8" t="n">
        <f aca="false">IFERROR(INDEX('Search Terms'!$D$5:$D$137,MATCH($E65,'Search Terms'!$A$5:$A$137,0)),"")</f>
        <v>0</v>
      </c>
      <c r="W65" s="17" t="s">
        <v>204</v>
      </c>
      <c r="X65" s="17" t="s">
        <v>286</v>
      </c>
      <c r="Y65" s="17" t="s">
        <v>228</v>
      </c>
      <c r="Z65" s="8" t="s">
        <v>126</v>
      </c>
      <c r="AA65" s="21"/>
    </row>
    <row r="66" customFormat="false" ht="25.35" hidden="false" customHeight="false" outlineLevel="0" collapsed="false">
      <c r="A66" s="17" t="s">
        <v>96</v>
      </c>
      <c r="B66" s="17" t="s">
        <v>287</v>
      </c>
      <c r="C66" s="18" t="s">
        <v>288</v>
      </c>
      <c r="D66" s="8" t="str">
        <f aca="false">INDEX(Campaigns!$D$6:$D$45,MATCH($C66,Campaigns!$A$6:$A$45,0))</f>
        <v>SP Exact keyword</v>
      </c>
      <c r="E66" s="8" t="s">
        <v>287</v>
      </c>
      <c r="F66" s="8" t="str">
        <f aca="false">INDEX(Campaigns!$H$6:$H$45,MATCH($C66,Campaigns!$A$6:$A$45,0))</f>
        <v>ENABLED</v>
      </c>
      <c r="G66" s="8" t="str">
        <f aca="false">INDEX(Campaigns!$AU$6:$AU$45,MATCH($C66,Campaigns!$A$6:$A$45,0))</f>
        <v>PAUSED</v>
      </c>
      <c r="H66" s="9" t="n">
        <f aca="false">INDEX(Campaigns!$N$6:$N$45,MATCH($C66,Campaigns!$A$6:$A$45,0))</f>
        <v>1</v>
      </c>
      <c r="I66" s="9" t="n">
        <f aca="false">INDEX(Campaigns!$P$6:$P$45,MATCH($C66,Campaigns!$A$6:$A$45,0))</f>
        <v>0</v>
      </c>
      <c r="J66" s="7" t="n">
        <f aca="false">INDEX(Campaigns!$O$6:$O$45,MATCH($C66,Campaigns!$A$6:$A$45,0))</f>
        <v>0.5</v>
      </c>
      <c r="K66" s="10" t="str">
        <f aca="false">INDEX(Campaigns!$U$6:$U$45,MATCH($C66,Campaigns!$A$6:$A$45,0))</f>
        <v/>
      </c>
      <c r="L66" s="7" t="n">
        <f aca="false">INDEX(Campaigns!$T$6:$T$45,MATCH($C66,Campaigns!$A$6:$A$45,0))</f>
        <v>0.5</v>
      </c>
      <c r="M66" s="9" t="n">
        <f aca="false">INDEX(Campaigns!$AH$6:$AH$45,MATCH($C66,Campaigns!$A$6:$A$45,0))+INDEX(Campaigns!$AJ$6:$AJ$45,MATCH($C66,Campaigns!$A$6:$A$45,0))+INDEX(Campaigns!$AL$6:$AL$45,MATCH($C66,Campaigns!$A$6:$A$45,0))</f>
        <v>1</v>
      </c>
      <c r="N66" s="19" t="n">
        <v>0</v>
      </c>
      <c r="O66" s="9" t="n">
        <f aca="false">INDEX(Campaigns!$W$6:$W$45,MATCH($C66,Campaigns!$A$6:$A$45,0))</f>
        <v>0</v>
      </c>
      <c r="P66" s="9" t="n">
        <f aca="false">INDEX(Campaigns!$Y$6:$Y$45,MATCH($C66,Campaigns!$A$6:$A$45,0))</f>
        <v>0</v>
      </c>
      <c r="Q66" s="7" t="n">
        <f aca="false">INDEX(Campaigns!$X$6:$X$45,MATCH($C66,Campaigns!$A$6:$A$45,0))</f>
        <v>0</v>
      </c>
      <c r="R66" s="7" t="n">
        <f aca="false">IF(I66=0,J66,0)</f>
        <v>0.5</v>
      </c>
      <c r="S66" s="20" t="n">
        <f aca="false">IF(INDEX(Campaigns!$J$6:$J$45,MATCH($C66,Campaigns!$A$6:$A$45,0))="","",INDEX(Campaigns!$J$6:$J$45,MATCH($C66,Campaigns!$A$6:$A$45,0)))</f>
        <v>3.8</v>
      </c>
      <c r="T66" s="9" t="n">
        <f aca="false">IFERROR(INDEX('Search Terms'!$C$5:$C$137,MATCH($E66,'Search Terms'!$A$5:$A$137,0)),"")</f>
        <v>2</v>
      </c>
      <c r="U66" s="8" t="str">
        <f aca="false">IFERROR(INDEX('Search Terms'!$B$5:$B$137,MATCH($E66,'Search Terms'!$A$5:$A$137,0)),"")</f>
        <v>Relevant</v>
      </c>
      <c r="V66" s="8" t="n">
        <f aca="false">IFERROR(INDEX('Search Terms'!$D$5:$D$137,MATCH($E66,'Search Terms'!$A$5:$A$137,0)),"")</f>
        <v>58</v>
      </c>
      <c r="W66" s="17" t="s">
        <v>204</v>
      </c>
      <c r="X66" s="17" t="s">
        <v>289</v>
      </c>
      <c r="Y66" s="17" t="s">
        <v>290</v>
      </c>
      <c r="Z66" s="8" t="s">
        <v>126</v>
      </c>
      <c r="AA66" s="21"/>
    </row>
  </sheetData>
  <autoFilter ref="A26:AA66"/>
  <conditionalFormatting sqref="A18:A22">
    <cfRule type="expression" priority="2" aboveAverage="0" equalAverage="0" bottom="0" percent="0" rank="0" text="" dxfId="0">
      <formula>LEFT($A18,1)="1"</formula>
    </cfRule>
    <cfRule type="expression" priority="3" aboveAverage="0" equalAverage="0" bottom="0" percent="0" rank="0" text="" dxfId="0">
      <formula>LEFT($A18,1)="2"</formula>
    </cfRule>
    <cfRule type="expression" priority="4" aboveAverage="0" equalAverage="0" bottom="0" percent="0" rank="0" text="" dxfId="1">
      <formula>LEFT($A18,1)="3"</formula>
    </cfRule>
    <cfRule type="expression" priority="5" aboveAverage="0" equalAverage="0" bottom="0" percent="0" rank="0" text="" dxfId="1">
      <formula>LEFT($A18,1)="4"</formula>
    </cfRule>
    <cfRule type="expression" priority="6" aboveAverage="0" equalAverage="0" bottom="0" percent="0" rank="0" text="" dxfId="2">
      <formula>LEFT($A18,1)="5"</formula>
    </cfRule>
  </conditionalFormatting>
  <conditionalFormatting sqref="A27:A66">
    <cfRule type="expression" priority="7" aboveAverage="0" equalAverage="0" bottom="0" percent="0" rank="0" text="" dxfId="0">
      <formula>LEFT($A27,1)="1"</formula>
    </cfRule>
    <cfRule type="expression" priority="8" aboveAverage="0" equalAverage="0" bottom="0" percent="0" rank="0" text="" dxfId="0">
      <formula>LEFT($A27,1)="2"</formula>
    </cfRule>
    <cfRule type="expression" priority="9" aboveAverage="0" equalAverage="0" bottom="0" percent="0" rank="0" text="" dxfId="1">
      <formula>LEFT($A27,1)="3"</formula>
    </cfRule>
    <cfRule type="expression" priority="10" aboveAverage="0" equalAverage="0" bottom="0" percent="0" rank="0" text="" dxfId="1">
      <formula>LEFT($A27,1)="4"</formula>
    </cfRule>
    <cfRule type="expression" priority="11" aboveAverage="0" equalAverage="0" bottom="0" percent="0" rank="0" text="" dxfId="2">
      <formula>LEFT($A27,1)="5"</formula>
    </cfRule>
  </conditionalFormatting>
  <conditionalFormatting sqref="G27:G66">
    <cfRule type="expression" priority="12" aboveAverage="0" equalAverage="0" bottom="0" percent="0" rank="0" text="" dxfId="0">
      <formula>$G27="ENABLED"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V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7"/>
    <col collapsed="false" customWidth="true" hidden="false" outlineLevel="0" max="22" min="3" style="0" width="11"/>
  </cols>
  <sheetData>
    <row r="1" customFormat="false" ht="17.35" hidden="false" customHeight="false" outlineLevel="0" collapsed="false">
      <c r="A1" s="11" t="s">
        <v>291</v>
      </c>
    </row>
    <row r="2" customFormat="false" ht="15" hidden="false" customHeight="false" outlineLevel="0" collapsed="false">
      <c r="A2" s="12" t="s">
        <v>292</v>
      </c>
    </row>
    <row r="4" customFormat="false" ht="69.75" hidden="false" customHeight="true" outlineLevel="0" collapsed="false">
      <c r="A4" s="5" t="s">
        <v>99</v>
      </c>
      <c r="B4" s="5" t="s">
        <v>100</v>
      </c>
      <c r="C4" s="5" t="s">
        <v>103</v>
      </c>
      <c r="D4" s="5" t="s">
        <v>104</v>
      </c>
      <c r="E4" s="5" t="s">
        <v>90</v>
      </c>
      <c r="F4" s="5" t="s">
        <v>293</v>
      </c>
      <c r="G4" s="5" t="s">
        <v>294</v>
      </c>
      <c r="H4" s="5" t="s">
        <v>295</v>
      </c>
      <c r="I4" s="5" t="s">
        <v>296</v>
      </c>
      <c r="J4" s="5" t="s">
        <v>297</v>
      </c>
      <c r="K4" s="5" t="s">
        <v>298</v>
      </c>
      <c r="L4" s="5" t="s">
        <v>299</v>
      </c>
      <c r="M4" s="5" t="s">
        <v>300</v>
      </c>
      <c r="N4" s="5" t="s">
        <v>301</v>
      </c>
      <c r="O4" s="5" t="s">
        <v>302</v>
      </c>
      <c r="P4" s="5" t="s">
        <v>303</v>
      </c>
      <c r="Q4" s="5" t="s">
        <v>304</v>
      </c>
      <c r="R4" s="5" t="s">
        <v>305</v>
      </c>
      <c r="S4" s="5" t="s">
        <v>306</v>
      </c>
      <c r="T4" s="5" t="s">
        <v>307</v>
      </c>
      <c r="U4" s="5" t="s">
        <v>308</v>
      </c>
      <c r="V4" s="5" t="s">
        <v>309</v>
      </c>
    </row>
    <row r="5" customFormat="false" ht="15" hidden="false" customHeight="false" outlineLevel="0" collapsed="false">
      <c r="A5" s="8" t="s">
        <v>121</v>
      </c>
      <c r="B5" s="18" t="s">
        <v>122</v>
      </c>
      <c r="C5" s="8" t="str">
        <f aca="false">INDEX(Campaigns!$H$6:$H$45,MATCH($B5,Campaigns!$A$6:$A$45,0))</f>
        <v>ENABLED</v>
      </c>
      <c r="D5" s="8" t="str">
        <f aca="false">INDEX(Campaigns!$AU$6:$AU$45,MATCH($B5,Campaigns!$A$6:$A$45,0))</f>
        <v>ENABLED</v>
      </c>
      <c r="E5" s="9" t="n">
        <f aca="false">INDEX(Campaigns!$Y$6:$Y$45,MATCH($B5,Campaigns!$A$6:$A$45,0))</f>
        <v>1</v>
      </c>
      <c r="F5" s="19" t="n">
        <v>4</v>
      </c>
      <c r="G5" s="22" t="n">
        <v>0.52</v>
      </c>
      <c r="H5" s="23" t="n">
        <v>2.8</v>
      </c>
      <c r="I5" s="24" t="n">
        <v>2.8</v>
      </c>
      <c r="J5" s="7" t="n">
        <f aca="false">G5*(1+H5)</f>
        <v>1.976</v>
      </c>
      <c r="K5" s="7" t="n">
        <f aca="false">G5*(1+I5)</f>
        <v>1.976</v>
      </c>
      <c r="L5" s="7" t="n">
        <f aca="false">IF(INDEX(Campaigns!$AH$6:$AH$45,MATCH($B5,Campaigns!$A$6:$A$45,0))=0,0,INDEX(Campaigns!$AI$6:$AI$45,MATCH($B5,Campaigns!$A$6:$A$45,0))/INDEX(Campaigns!$AH$6:$AH$45,MATCH($B5,Campaigns!$A$6:$A$45,0)))</f>
        <v>1.58</v>
      </c>
      <c r="M5" s="7" t="n">
        <f aca="false">IF(INDEX(Campaigns!$AJ$6:$AJ$45,MATCH($B5,Campaigns!$A$6:$A$45,0))=0,0,INDEX(Campaigns!$AK$6:$AK$45,MATCH($B5,Campaigns!$A$6:$A$45,0))/INDEX(Campaigns!$AJ$6:$AJ$45,MATCH($B5,Campaigns!$A$6:$A$45,0)))</f>
        <v>0.532838709677419</v>
      </c>
      <c r="N5" s="25" t="n">
        <f aca="false">INDEX(Campaigns!$W$6:$W$45,MATCH($B5,Campaigns!$A$6:$A$45,0))/30</f>
        <v>3.06666666666667</v>
      </c>
      <c r="O5" s="7" t="n">
        <f aca="false">INDEX(Campaigns!$X$6:$X$45,MATCH($B5,Campaigns!$A$6:$A$45,0))/30</f>
        <v>2.30566666666667</v>
      </c>
      <c r="P5" s="22" t="n">
        <v>9.41</v>
      </c>
      <c r="Q5" s="26" t="n">
        <v>10</v>
      </c>
      <c r="R5" s="25" t="n">
        <f aca="false">IF(L5=0,"",Q5/L5)</f>
        <v>6.32911392405063</v>
      </c>
      <c r="S5" s="25" t="n">
        <f aca="false">IF(K5=0,"",Q5/K5)</f>
        <v>5.06072874493927</v>
      </c>
      <c r="T5" s="25" t="n">
        <f aca="false">IF(M5=0,"",Q5/M5)</f>
        <v>18.7674052548735</v>
      </c>
      <c r="U5" s="7" t="n">
        <f aca="false">MIN(Q5,MAX(O5,INDEX(Campaigns!$O$6:$O$45,MATCH($B5,Campaigns!$A$6:$A$45,0))/Rules!$B$25))</f>
        <v>2.30566666666667</v>
      </c>
      <c r="V5" s="7" t="n">
        <f aca="false">Rules!$B$19*IF(INDEX(Campaigns!$P$6:$P$45,MATCH($B5,Campaigns!$A$6:$A$45,0))=0,Rules!$B$35,INDEX(Campaigns!$Q$6:$Q$45,MATCH($B5,Campaigns!$A$6:$A$45,0))/INDEX(Campaigns!$P$6:$P$45,MATCH($B5,Campaigns!$A$6:$A$45,0)))*(F5+Rules!$B$36*Rules!$B$20)/(INDEX(Campaigns!$AH$6:$AH$45,MATCH($B5,Campaigns!$A$6:$A$45,0))+INDEX(Campaigns!$AJ$6:$AJ$45,MATCH($B5,Campaigns!$A$6:$A$45,0))+INDEX(Campaigns!$AL$6:$AL$45,MATCH($B5,Campaigns!$A$6:$A$45,0))+Rules!$B$20)</f>
        <v>0.284416529695376</v>
      </c>
    </row>
    <row r="6" customFormat="false" ht="15" hidden="false" customHeight="false" outlineLevel="0" collapsed="false">
      <c r="A6" s="8" t="s">
        <v>127</v>
      </c>
      <c r="B6" s="18" t="s">
        <v>128</v>
      </c>
      <c r="C6" s="8" t="str">
        <f aca="false">INDEX(Campaigns!$H$6:$H$45,MATCH($B6,Campaigns!$A$6:$A$45,0))</f>
        <v>PAUSED</v>
      </c>
      <c r="D6" s="8" t="str">
        <f aca="false">INDEX(Campaigns!$AU$6:$AU$45,MATCH($B6,Campaigns!$A$6:$A$45,0))</f>
        <v>ENABLED</v>
      </c>
      <c r="E6" s="9" t="n">
        <f aca="false">INDEX(Campaigns!$Y$6:$Y$45,MATCH($B6,Campaigns!$A$6:$A$45,0))</f>
        <v>2</v>
      </c>
      <c r="F6" s="19" t="n">
        <v>2</v>
      </c>
      <c r="G6" s="22" t="n">
        <v>0.69</v>
      </c>
      <c r="H6" s="23" t="n">
        <v>4.5</v>
      </c>
      <c r="I6" s="24" t="n">
        <v>3</v>
      </c>
      <c r="J6" s="7" t="n">
        <f aca="false">G6*(1+H6)</f>
        <v>3.795</v>
      </c>
      <c r="K6" s="7" t="n">
        <f aca="false">G6*(1+I6)</f>
        <v>2.76</v>
      </c>
      <c r="L6" s="7" t="n">
        <f aca="false">IF(INDEX(Campaigns!$AH$6:$AH$45,MATCH($B6,Campaigns!$A$6:$A$45,0))=0,0,INDEX(Campaigns!$AI$6:$AI$45,MATCH($B6,Campaigns!$A$6:$A$45,0))/INDEX(Campaigns!$AH$6:$AH$45,MATCH($B6,Campaigns!$A$6:$A$45,0)))</f>
        <v>1.24105263157895</v>
      </c>
      <c r="M6" s="7" t="n">
        <f aca="false">IF(INDEX(Campaigns!$AJ$6:$AJ$45,MATCH($B6,Campaigns!$A$6:$A$45,0))=0,0,INDEX(Campaigns!$AK$6:$AK$45,MATCH($B6,Campaigns!$A$6:$A$45,0))/INDEX(Campaigns!$AJ$6:$AJ$45,MATCH($B6,Campaigns!$A$6:$A$45,0)))</f>
        <v>0.69</v>
      </c>
      <c r="N6" s="25" t="n">
        <f aca="false">INDEX(Campaigns!$W$6:$W$45,MATCH($B6,Campaigns!$A$6:$A$45,0))/30</f>
        <v>0.933333333333333</v>
      </c>
      <c r="O6" s="7" t="n">
        <f aca="false">INDEX(Campaigns!$X$6:$X$45,MATCH($B6,Campaigns!$A$6:$A$45,0))/30</f>
        <v>0.923666666666667</v>
      </c>
      <c r="P6" s="22" t="n">
        <v>6.38</v>
      </c>
      <c r="Q6" s="26" t="n">
        <v>10</v>
      </c>
      <c r="R6" s="25" t="n">
        <f aca="false">IF(L6=0,"",Q6/L6)</f>
        <v>8.0576759966073</v>
      </c>
      <c r="S6" s="25" t="n">
        <f aca="false">IF(K6=0,"",Q6/K6)</f>
        <v>3.6231884057971</v>
      </c>
      <c r="T6" s="25" t="n">
        <f aca="false">IF(M6=0,"",Q6/M6)</f>
        <v>14.4927536231884</v>
      </c>
      <c r="U6" s="7" t="n">
        <f aca="false">MIN(Q6,MAX(O6,INDEX(Campaigns!$O$6:$O$45,MATCH($B6,Campaigns!$A$6:$A$45,0))/Rules!$B$25))</f>
        <v>0.923666666666667</v>
      </c>
      <c r="V6" s="7" t="n">
        <f aca="false">Rules!$B$19*IF(INDEX(Campaigns!$P$6:$P$45,MATCH($B6,Campaigns!$A$6:$A$45,0))=0,Rules!$B$35,INDEX(Campaigns!$Q$6:$Q$45,MATCH($B6,Campaigns!$A$6:$A$45,0))/INDEX(Campaigns!$P$6:$P$45,MATCH($B6,Campaigns!$A$6:$A$45,0)))*(F6+Rules!$B$36*Rules!$B$20)/(INDEX(Campaigns!$AH$6:$AH$45,MATCH($B6,Campaigns!$A$6:$A$45,0))+INDEX(Campaigns!$AJ$6:$AJ$45,MATCH($B6,Campaigns!$A$6:$A$45,0))+INDEX(Campaigns!$AL$6:$AL$45,MATCH($B6,Campaigns!$A$6:$A$45,0))+Rules!$B$20)</f>
        <v>0.311012461538462</v>
      </c>
    </row>
    <row r="7" customFormat="false" ht="15" hidden="false" customHeight="false" outlineLevel="0" collapsed="false">
      <c r="A7" s="8" t="s">
        <v>132</v>
      </c>
      <c r="B7" s="18" t="s">
        <v>133</v>
      </c>
      <c r="C7" s="8" t="str">
        <f aca="false">INDEX(Campaigns!$H$6:$H$45,MATCH($B7,Campaigns!$A$6:$A$45,0))</f>
        <v>ENABLED</v>
      </c>
      <c r="D7" s="8" t="str">
        <f aca="false">INDEX(Campaigns!$AU$6:$AU$45,MATCH($B7,Campaigns!$A$6:$A$45,0))</f>
        <v>ENABLED</v>
      </c>
      <c r="E7" s="9" t="n">
        <f aca="false">INDEX(Campaigns!$Y$6:$Y$45,MATCH($B7,Campaigns!$A$6:$A$45,0))</f>
        <v>0</v>
      </c>
      <c r="F7" s="19" t="n">
        <v>0</v>
      </c>
      <c r="G7" s="22" t="n">
        <v>0.68</v>
      </c>
      <c r="H7" s="23" t="n">
        <v>3.8</v>
      </c>
      <c r="I7" s="24" t="n">
        <v>3</v>
      </c>
      <c r="J7" s="7" t="n">
        <f aca="false">G7*(1+H7)</f>
        <v>3.264</v>
      </c>
      <c r="K7" s="7" t="n">
        <f aca="false">G7*(1+I7)</f>
        <v>2.72</v>
      </c>
      <c r="L7" s="7" t="n">
        <f aca="false">IF(INDEX(Campaigns!$AH$6:$AH$45,MATCH($B7,Campaigns!$A$6:$A$45,0))=0,0,INDEX(Campaigns!$AI$6:$AI$45,MATCH($B7,Campaigns!$A$6:$A$45,0))/INDEX(Campaigns!$AH$6:$AH$45,MATCH($B7,Campaigns!$A$6:$A$45,0)))</f>
        <v>0.345</v>
      </c>
      <c r="M7" s="7" t="n">
        <f aca="false">IF(INDEX(Campaigns!$AJ$6:$AJ$45,MATCH($B7,Campaigns!$A$6:$A$45,0))=0,0,INDEX(Campaigns!$AK$6:$AK$45,MATCH($B7,Campaigns!$A$6:$A$45,0))/INDEX(Campaigns!$AJ$6:$AJ$45,MATCH($B7,Campaigns!$A$6:$A$45,0)))</f>
        <v>0</v>
      </c>
      <c r="N7" s="25" t="n">
        <f aca="false">INDEX(Campaigns!$W$6:$W$45,MATCH($B7,Campaigns!$A$6:$A$45,0))/30</f>
        <v>0</v>
      </c>
      <c r="O7" s="7" t="n">
        <f aca="false">INDEX(Campaigns!$X$6:$X$45,MATCH($B7,Campaigns!$A$6:$A$45,0))/30</f>
        <v>0</v>
      </c>
      <c r="P7" s="22" t="n">
        <v>11.32</v>
      </c>
      <c r="Q7" s="26" t="n">
        <v>5</v>
      </c>
      <c r="R7" s="25" t="n">
        <f aca="false">IF(L7=0,"",Q7/L7)</f>
        <v>14.4927536231884</v>
      </c>
      <c r="S7" s="25" t="n">
        <f aca="false">IF(K7=0,"",Q7/K7)</f>
        <v>1.83823529411765</v>
      </c>
      <c r="T7" s="25" t="str">
        <f aca="false">IF(M7=0,"",Q7/M7)</f>
        <v/>
      </c>
      <c r="U7" s="7" t="n">
        <f aca="false">MIN(Q7,MAX(O7,INDEX(Campaigns!$O$6:$O$45,MATCH($B7,Campaigns!$A$6:$A$45,0))/Rules!$B$25))</f>
        <v>0.0237931034482759</v>
      </c>
      <c r="V7" s="7" t="n">
        <f aca="false">Rules!$B$19*IF(INDEX(Campaigns!$P$6:$P$45,MATCH($B7,Campaigns!$A$6:$A$45,0))=0,Rules!$B$35,INDEX(Campaigns!$Q$6:$Q$45,MATCH($B7,Campaigns!$A$6:$A$45,0))/INDEX(Campaigns!$P$6:$P$45,MATCH($B7,Campaigns!$A$6:$A$45,0)))*(F7+Rules!$B$36*Rules!$B$20)/(INDEX(Campaigns!$AH$6:$AH$45,MATCH($B7,Campaigns!$A$6:$A$45,0))+INDEX(Campaigns!$AJ$6:$AJ$45,MATCH($B7,Campaigns!$A$6:$A$45,0))+INDEX(Campaigns!$AL$6:$AL$45,MATCH($B7,Campaigns!$A$6:$A$45,0))+Rules!$B$20)</f>
        <v>0.139793447293447</v>
      </c>
    </row>
    <row r="8" customFormat="false" ht="15" hidden="false" customHeight="false" outlineLevel="0" collapsed="false">
      <c r="A8" s="13" t="s">
        <v>310</v>
      </c>
      <c r="B8" s="13"/>
      <c r="C8" s="13"/>
      <c r="D8" s="13"/>
      <c r="E8" s="14" t="n">
        <f aca="false">SUM(E5:E7)</f>
        <v>3</v>
      </c>
      <c r="F8" s="14" t="n">
        <f aca="false">SUM(F5:F7)</f>
        <v>6</v>
      </c>
      <c r="G8" s="15"/>
      <c r="H8" s="27"/>
      <c r="I8" s="27"/>
      <c r="J8" s="15"/>
      <c r="K8" s="15"/>
      <c r="L8" s="15"/>
      <c r="M8" s="15"/>
      <c r="N8" s="28" t="n">
        <f aca="false">SUM(N5:N7)</f>
        <v>4</v>
      </c>
      <c r="O8" s="15" t="n">
        <f aca="false">SUM(O5:O7)</f>
        <v>3.22933333333333</v>
      </c>
      <c r="P8" s="15" t="n">
        <f aca="false">SUM(P5:P7)</f>
        <v>27.11</v>
      </c>
      <c r="Q8" s="15" t="n">
        <f aca="false">SUM(Q5:Q7)</f>
        <v>25</v>
      </c>
      <c r="R8" s="28"/>
      <c r="S8" s="28"/>
      <c r="T8" s="28"/>
      <c r="U8" s="15" t="n">
        <f aca="false">SUM(U5:U7)</f>
        <v>3.25312643678161</v>
      </c>
      <c r="V8" s="15"/>
    </row>
    <row r="10" customFormat="false" ht="15" hidden="false" customHeight="false" outlineLevel="0" collapsed="false">
      <c r="A10" s="3" t="s">
        <v>311</v>
      </c>
    </row>
    <row r="11" customFormat="false" ht="15" hidden="false" customHeight="false" outlineLevel="0" collapsed="false">
      <c r="A11" s="8" t="s">
        <v>312</v>
      </c>
      <c r="B11" s="7" t="n">
        <f aca="false">Rules!$B$5</f>
        <v>25</v>
      </c>
    </row>
    <row r="12" customFormat="false" ht="15" hidden="false" customHeight="false" outlineLevel="0" collapsed="false">
      <c r="A12" s="8" t="s">
        <v>313</v>
      </c>
      <c r="B12" s="7" t="n">
        <f aca="false">B11*7</f>
        <v>175</v>
      </c>
    </row>
    <row r="13" customFormat="false" ht="15" hidden="false" customHeight="false" outlineLevel="0" collapsed="false">
      <c r="A13" s="8" t="s">
        <v>314</v>
      </c>
      <c r="B13" s="7" t="n">
        <f aca="false">Q8</f>
        <v>25</v>
      </c>
    </row>
    <row r="14" customFormat="false" ht="15" hidden="false" customHeight="false" outlineLevel="0" collapsed="false">
      <c r="A14" s="8" t="s">
        <v>315</v>
      </c>
      <c r="B14" s="6" t="str">
        <f aca="false">IF(B13&lt;=B11,"Budgets fit inside the ceiling","Budgets exceed the ceiling: the portfolio cap stops spend at "&amp;TEXT(B11,"$0")&amp;" a day")</f>
        <v>Budgets fit inside the ceiling</v>
      </c>
    </row>
    <row r="15" customFormat="false" ht="15" hidden="false" customHeight="false" outlineLevel="0" collapsed="false">
      <c r="A15" s="8" t="s">
        <v>316</v>
      </c>
      <c r="B15" s="7" t="n">
        <f aca="false">U8</f>
        <v>3.25312643678161</v>
      </c>
    </row>
    <row r="16" customFormat="false" ht="15" hidden="false" customHeight="false" outlineLevel="0" collapsed="false">
      <c r="A16" s="8" t="s">
        <v>317</v>
      </c>
      <c r="B16" s="7" t="n">
        <f aca="false">B15*7</f>
        <v>22.7718850574713</v>
      </c>
    </row>
    <row r="17" customFormat="false" ht="15" hidden="false" customHeight="false" outlineLevel="0" collapsed="false">
      <c r="A17" s="8" t="s">
        <v>318</v>
      </c>
      <c r="B17" s="29" t="n">
        <f aca="false">B15*30</f>
        <v>97.5937931034483</v>
      </c>
    </row>
    <row r="18" customFormat="false" ht="15" hidden="false" customHeight="false" outlineLevel="0" collapsed="false">
      <c r="A18" s="8" t="s">
        <v>37</v>
      </c>
      <c r="B18" s="7" t="n">
        <f aca="false">MIN(B13,B11)*30</f>
        <v>750</v>
      </c>
    </row>
    <row r="19" customFormat="false" ht="15" hidden="false" customHeight="false" outlineLevel="0" collapsed="false">
      <c r="A19" s="8" t="s">
        <v>319</v>
      </c>
      <c r="B19" s="7" t="n">
        <f aca="false">Campaigns!X46</f>
        <v>487.49</v>
      </c>
    </row>
    <row r="20" customFormat="false" ht="15" hidden="false" customHeight="false" outlineLevel="0" collapsed="false">
      <c r="A20" s="8" t="s">
        <v>33</v>
      </c>
      <c r="B20" s="7" t="n">
        <f aca="false">SUMIFS(Campaigns!$X$6:$X$45,Campaigns!$AU$6:$AU$45,"PAUSED")</f>
        <v>390.61</v>
      </c>
    </row>
    <row r="21" customFormat="false" ht="15" hidden="false" customHeight="false" outlineLevel="0" collapsed="false">
      <c r="A21" s="8" t="s">
        <v>39</v>
      </c>
      <c r="B21" s="30" t="n">
        <f aca="false">IF(B19=0,0,1-B17/B19)</f>
        <v>0.799803497295435</v>
      </c>
    </row>
    <row r="22" customFormat="false" ht="15" hidden="false" customHeight="false" outlineLevel="0" collapsed="false">
      <c r="A22" s="8" t="s">
        <v>320</v>
      </c>
      <c r="B22" s="7" t="n">
        <f aca="false">Rules!$B$7</f>
        <v>175</v>
      </c>
    </row>
    <row r="23" customFormat="false" ht="15" hidden="false" customHeight="false" outlineLevel="0" collapsed="false">
      <c r="A23" s="8" t="s">
        <v>321</v>
      </c>
      <c r="B23" s="7" t="n">
        <f aca="false">B22-MIN(B13,B11)*7</f>
        <v>0</v>
      </c>
    </row>
    <row r="25" customFormat="false" ht="15" hidden="false" customHeight="false" outlineLevel="0" collapsed="false">
      <c r="A25" s="3" t="s">
        <v>322</v>
      </c>
    </row>
    <row r="26" customFormat="false" ht="30" hidden="false" customHeight="true" outlineLevel="0" collapsed="false">
      <c r="A26" s="4" t="s">
        <v>323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customFormat="false" ht="30" hidden="false" customHeight="true" outlineLevel="0" collapsed="false">
      <c r="A27" s="4" t="s">
        <v>324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customFormat="false" ht="30" hidden="false" customHeight="true" outlineLevel="0" collapsed="false">
      <c r="A28" s="4" t="s">
        <v>325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customFormat="false" ht="30" hidden="false" customHeight="true" outlineLevel="0" collapsed="false">
      <c r="A29" s="4" t="s">
        <v>326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customFormat="false" ht="30" hidden="false" customHeight="true" outlineLevel="0" collapsed="false">
      <c r="A30" s="4" t="s">
        <v>327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</sheetData>
  <mergeCells count="5">
    <mergeCell ref="A26:P26"/>
    <mergeCell ref="A27:P27"/>
    <mergeCell ref="A28:P28"/>
    <mergeCell ref="A29:P29"/>
    <mergeCell ref="A30:P30"/>
  </mergeCells>
  <conditionalFormatting sqref="B14">
    <cfRule type="expression" priority="2" aboveAverage="0" equalAverage="0" bottom="0" percent="0" rank="0" text="" dxfId="0">
      <formula>LEFT($B14,7)="Budgets"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Z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5" min="2" style="0" width="11"/>
    <col collapsed="false" customWidth="true" hidden="false" outlineLevel="0" max="26" min="26" style="0" width="60"/>
  </cols>
  <sheetData>
    <row r="1" customFormat="false" ht="17.35" hidden="false" customHeight="false" outlineLevel="0" collapsed="false">
      <c r="A1" s="11" t="s">
        <v>328</v>
      </c>
    </row>
    <row r="2" customFormat="false" ht="15" hidden="false" customHeight="false" outlineLevel="0" collapsed="false">
      <c r="A2" s="12" t="s">
        <v>329</v>
      </c>
    </row>
    <row r="4" customFormat="false" ht="69.75" hidden="false" customHeight="true" outlineLevel="0" collapsed="false">
      <c r="A4" s="5" t="s">
        <v>330</v>
      </c>
      <c r="B4" s="5" t="s">
        <v>331</v>
      </c>
      <c r="C4" s="5" t="s">
        <v>332</v>
      </c>
      <c r="D4" s="5" t="s">
        <v>333</v>
      </c>
      <c r="E4" s="5" t="s">
        <v>334</v>
      </c>
      <c r="F4" s="5" t="s">
        <v>335</v>
      </c>
      <c r="G4" s="5" t="s">
        <v>336</v>
      </c>
      <c r="H4" s="5" t="s">
        <v>337</v>
      </c>
      <c r="I4" s="5" t="s">
        <v>338</v>
      </c>
      <c r="J4" s="5" t="s">
        <v>339</v>
      </c>
      <c r="K4" s="5" t="s">
        <v>340</v>
      </c>
      <c r="L4" s="5" t="s">
        <v>341</v>
      </c>
      <c r="M4" s="5" t="s">
        <v>342</v>
      </c>
      <c r="N4" s="5" t="s">
        <v>343</v>
      </c>
      <c r="O4" s="5" t="s">
        <v>344</v>
      </c>
      <c r="P4" s="5" t="s">
        <v>345</v>
      </c>
      <c r="Q4" s="5" t="s">
        <v>346</v>
      </c>
      <c r="R4" s="5" t="s">
        <v>347</v>
      </c>
      <c r="S4" s="5" t="s">
        <v>348</v>
      </c>
      <c r="T4" s="5" t="s">
        <v>349</v>
      </c>
      <c r="U4" s="5" t="s">
        <v>350</v>
      </c>
      <c r="V4" s="5" t="s">
        <v>115</v>
      </c>
      <c r="W4" s="5" t="s">
        <v>351</v>
      </c>
      <c r="X4" s="5" t="s">
        <v>352</v>
      </c>
      <c r="Y4" s="5" t="s">
        <v>353</v>
      </c>
      <c r="Z4" s="5" t="s">
        <v>354</v>
      </c>
    </row>
    <row r="5" customFormat="false" ht="37.3" hidden="false" customHeight="false" outlineLevel="0" collapsed="false">
      <c r="A5" s="8" t="s">
        <v>150</v>
      </c>
      <c r="B5" s="31" t="n">
        <v>8</v>
      </c>
      <c r="C5" s="19" t="n">
        <v>53763</v>
      </c>
      <c r="D5" s="19" t="n">
        <v>1764878</v>
      </c>
      <c r="E5" s="19" t="n">
        <v>21938</v>
      </c>
      <c r="F5" s="19" t="n">
        <v>2842</v>
      </c>
      <c r="G5" s="19" t="n">
        <v>360</v>
      </c>
      <c r="H5" s="10" t="n">
        <f aca="false">IF(E5=0,0,F5/E5)</f>
        <v>0.129546904913848</v>
      </c>
      <c r="I5" s="32" t="n">
        <f aca="false">IF(E5=0,0,G5/E5)</f>
        <v>0.0164098823958428</v>
      </c>
      <c r="J5" s="19" t="n">
        <v>6756</v>
      </c>
      <c r="K5" s="32" t="n">
        <f aca="false">IF(D5=0,0,J5/D5)</f>
        <v>0.00382802663980173</v>
      </c>
      <c r="L5" s="19" t="n">
        <v>38</v>
      </c>
      <c r="M5" s="32" t="n">
        <f aca="false">IF(E5=0,0,L5/E5)</f>
        <v>0.00173215425289452</v>
      </c>
      <c r="N5" s="19" t="n">
        <v>0</v>
      </c>
      <c r="O5" s="25" t="n">
        <f aca="false">L5*H5</f>
        <v>4.92278238672623</v>
      </c>
      <c r="P5" s="33" t="n">
        <f aca="false">BINOMDIST(N5,L5,H5,TRUE())</f>
        <v>0.0051324438449671</v>
      </c>
      <c r="Q5" s="19" t="n">
        <v>0</v>
      </c>
      <c r="R5" s="9" t="n">
        <f aca="false">IFERROR(INDEX('Search Terms'!$F$5:$F$137,MATCH($A5,'Search Terms'!$A$5:$A$137,0)),0)</f>
        <v>42</v>
      </c>
      <c r="S5" s="9" t="n">
        <f aca="false">IFERROR(INDEX('Search Terms'!$G$5:$G$137,MATCH($A5,'Search Terms'!$A$5:$A$137,0)),0)</f>
        <v>0</v>
      </c>
      <c r="T5" s="7" t="n">
        <f aca="false">IFERROR(INDEX('Search Terms'!$H$5:$H$137,MATCH($A5,'Search Terms'!$A$5:$A$137,0)),0)</f>
        <v>39.35</v>
      </c>
      <c r="U5" s="7" t="n">
        <f aca="false">IF(R5=0,0,T5/R5)</f>
        <v>0.936904761904762</v>
      </c>
      <c r="V5" s="8" t="n">
        <f aca="false">IFERROR(INDEX('Search Terms'!$D$5:$D$137,MATCH($A5,'Search Terms'!$A$5:$A$137,0)),"")</f>
        <v>99</v>
      </c>
      <c r="W5" s="7" t="n">
        <f aca="false">Rules!$B$19*Rules!$B$35*I5</f>
        <v>0.193246057069924</v>
      </c>
      <c r="X5" s="7" t="n">
        <f aca="false">Rules!$B$34*I5</f>
        <v>0.0640805907557663</v>
      </c>
      <c r="Y5" s="34" t="n">
        <f aca="false">IF(W5=0,"",U5/W5)</f>
        <v>4.84824775268637</v>
      </c>
      <c r="Z5" s="17" t="s">
        <v>355</v>
      </c>
    </row>
    <row r="6" customFormat="false" ht="25.35" hidden="false" customHeight="false" outlineLevel="0" collapsed="false">
      <c r="A6" s="8" t="s">
        <v>142</v>
      </c>
      <c r="B6" s="31" t="n">
        <v>8</v>
      </c>
      <c r="C6" s="19" t="n">
        <v>31570</v>
      </c>
      <c r="D6" s="19" t="n">
        <v>1162248</v>
      </c>
      <c r="E6" s="19" t="n">
        <v>10184</v>
      </c>
      <c r="F6" s="19" t="n">
        <v>1193</v>
      </c>
      <c r="G6" s="19" t="n">
        <v>171</v>
      </c>
      <c r="H6" s="10" t="n">
        <f aca="false">IF(E6=0,0,F6/E6)</f>
        <v>0.117144540455617</v>
      </c>
      <c r="I6" s="32" t="n">
        <f aca="false">IF(E6=0,0,G6/E6)</f>
        <v>0.0167910447761194</v>
      </c>
      <c r="J6" s="19" t="n">
        <v>3089</v>
      </c>
      <c r="K6" s="32" t="n">
        <f aca="false">IF(D6=0,0,J6/D6)</f>
        <v>0.00265778043928662</v>
      </c>
      <c r="L6" s="19" t="n">
        <v>29</v>
      </c>
      <c r="M6" s="32" t="n">
        <f aca="false">IF(E6=0,0,L6/E6)</f>
        <v>0.00284760408483896</v>
      </c>
      <c r="N6" s="19" t="n">
        <v>3</v>
      </c>
      <c r="O6" s="25" t="n">
        <f aca="false">L6*H6</f>
        <v>3.39719167321288</v>
      </c>
      <c r="P6" s="33" t="n">
        <f aca="false">BINOMDIST(N6,L6,H6,TRUE())</f>
        <v>0.553650868674934</v>
      </c>
      <c r="Q6" s="19" t="n">
        <v>0</v>
      </c>
      <c r="R6" s="9" t="n">
        <f aca="false">IFERROR(INDEX('Search Terms'!$F$5:$F$137,MATCH($A6,'Search Terms'!$A$5:$A$137,0)),0)</f>
        <v>179</v>
      </c>
      <c r="S6" s="9" t="n">
        <f aca="false">IFERROR(INDEX('Search Terms'!$G$5:$G$137,MATCH($A6,'Search Terms'!$A$5:$A$137,0)),0)</f>
        <v>2</v>
      </c>
      <c r="T6" s="7" t="n">
        <f aca="false">IFERROR(INDEX('Search Terms'!$H$5:$H$137,MATCH($A6,'Search Terms'!$A$5:$A$137,0)),0)</f>
        <v>132.1</v>
      </c>
      <c r="U6" s="7" t="n">
        <f aca="false">IF(R6=0,0,T6/R6)</f>
        <v>0.737988826815642</v>
      </c>
      <c r="V6" s="8" t="n">
        <f aca="false">IFERROR(INDEX('Search Terms'!$D$5:$D$137,MATCH($A6,'Search Terms'!$A$5:$A$137,0)),"")</f>
        <v>133</v>
      </c>
      <c r="W6" s="7" t="n">
        <f aca="false">Rules!$B$19*Rules!$B$35*I6</f>
        <v>0.197734701492537</v>
      </c>
      <c r="X6" s="7" t="n">
        <f aca="false">Rules!$B$34*I6</f>
        <v>0.0655690298507463</v>
      </c>
      <c r="Y6" s="34" t="n">
        <f aca="false">IF(W6=0,"",U6/W6)</f>
        <v>3.73221706278751</v>
      </c>
      <c r="Z6" s="17" t="s">
        <v>356</v>
      </c>
    </row>
    <row r="7" customFormat="false" ht="25.35" hidden="false" customHeight="false" outlineLevel="0" collapsed="false">
      <c r="A7" s="8" t="s">
        <v>146</v>
      </c>
      <c r="B7" s="31" t="n">
        <v>7</v>
      </c>
      <c r="C7" s="19" t="n">
        <v>5417</v>
      </c>
      <c r="D7" s="19" t="n">
        <v>154631</v>
      </c>
      <c r="E7" s="19" t="n">
        <v>2731</v>
      </c>
      <c r="F7" s="19" t="n">
        <v>311</v>
      </c>
      <c r="G7" s="19" t="n">
        <v>58</v>
      </c>
      <c r="H7" s="10" t="n">
        <f aca="false">IF(E7=0,0,F7/E7)</f>
        <v>0.113877700476016</v>
      </c>
      <c r="I7" s="32" t="n">
        <f aca="false">IF(E7=0,0,G7/E7)</f>
        <v>0.0212376418894178</v>
      </c>
      <c r="J7" s="19" t="n">
        <v>1542</v>
      </c>
      <c r="K7" s="32" t="n">
        <f aca="false">IF(D7=0,0,J7/D7)</f>
        <v>0.00997212719312428</v>
      </c>
      <c r="L7" s="19" t="n">
        <v>34</v>
      </c>
      <c r="M7" s="32" t="n">
        <f aca="false">IF(E7=0,0,L7/E7)</f>
        <v>0.0124496521420725</v>
      </c>
      <c r="N7" s="19" t="n">
        <v>1</v>
      </c>
      <c r="O7" s="25" t="n">
        <f aca="false">L7*H7</f>
        <v>3.87184181618455</v>
      </c>
      <c r="P7" s="33" t="n">
        <f aca="false">BINOMDIST(N7,L7,H7,TRUE())</f>
        <v>0.0880465077727991</v>
      </c>
      <c r="Q7" s="19" t="n">
        <v>1</v>
      </c>
      <c r="R7" s="9" t="n">
        <f aca="false">IFERROR(INDEX('Search Terms'!$F$5:$F$137,MATCH($A7,'Search Terms'!$A$5:$A$137,0)),0)</f>
        <v>113</v>
      </c>
      <c r="S7" s="9" t="n">
        <f aca="false">IFERROR(INDEX('Search Terms'!$G$5:$G$137,MATCH($A7,'Search Terms'!$A$5:$A$137,0)),0)</f>
        <v>1</v>
      </c>
      <c r="T7" s="7" t="n">
        <f aca="false">IFERROR(INDEX('Search Terms'!$H$5:$H$137,MATCH($A7,'Search Terms'!$A$5:$A$137,0)),0)</f>
        <v>81.58</v>
      </c>
      <c r="U7" s="7" t="n">
        <f aca="false">IF(R7=0,0,T7/R7)</f>
        <v>0.721946902654867</v>
      </c>
      <c r="V7" s="8" t="n">
        <f aca="false">IFERROR(INDEX('Search Terms'!$D$5:$D$137,MATCH($A7,'Search Terms'!$A$5:$A$137,0)),"")</f>
        <v>94</v>
      </c>
      <c r="W7" s="7" t="n">
        <f aca="false">Rules!$B$19*Rules!$B$35*I7</f>
        <v>0.250098718418162</v>
      </c>
      <c r="X7" s="7" t="n">
        <f aca="false">Rules!$B$34*I7</f>
        <v>0.0829329915781765</v>
      </c>
      <c r="Y7" s="34" t="n">
        <f aca="false">IF(W7=0,"",U7/W7)</f>
        <v>2.88664774942102</v>
      </c>
      <c r="Z7" s="17" t="s">
        <v>357</v>
      </c>
    </row>
    <row r="8" customFormat="false" ht="15" hidden="false" customHeight="false" outlineLevel="0" collapsed="false">
      <c r="A8" s="8" t="s">
        <v>192</v>
      </c>
      <c r="B8" s="31" t="n">
        <v>7</v>
      </c>
      <c r="C8" s="19" t="n">
        <v>4113</v>
      </c>
      <c r="D8" s="19" t="n">
        <v>125312</v>
      </c>
      <c r="E8" s="19" t="n">
        <v>1921</v>
      </c>
      <c r="F8" s="19" t="n">
        <v>242</v>
      </c>
      <c r="G8" s="19" t="n">
        <v>29</v>
      </c>
      <c r="H8" s="10" t="n">
        <f aca="false">IF(E8=0,0,F8/E8)</f>
        <v>0.12597605413847</v>
      </c>
      <c r="I8" s="32" t="n">
        <f aca="false">IF(E8=0,0,G8/E8)</f>
        <v>0.015096304008329</v>
      </c>
      <c r="J8" s="19" t="n">
        <v>893</v>
      </c>
      <c r="K8" s="32" t="n">
        <f aca="false">IF(D8=0,0,J8/D8)</f>
        <v>0.00712621297242084</v>
      </c>
      <c r="L8" s="19" t="n">
        <v>14</v>
      </c>
      <c r="M8" s="32" t="n">
        <f aca="false">IF(E8=0,0,L8/E8)</f>
        <v>0.00728787090057262</v>
      </c>
      <c r="N8" s="19" t="n">
        <v>1</v>
      </c>
      <c r="O8" s="25" t="n">
        <f aca="false">L8*H8</f>
        <v>1.76366475793857</v>
      </c>
      <c r="P8" s="33" t="n">
        <f aca="false">BINOMDIST(N8,L8,H8,TRUE())</f>
        <v>0.458170207744724</v>
      </c>
      <c r="Q8" s="19" t="n">
        <v>0</v>
      </c>
      <c r="R8" s="9" t="n">
        <f aca="false">IFERROR(INDEX('Search Terms'!$F$5:$F$137,MATCH($A8,'Search Terms'!$A$5:$A$137,0)),0)</f>
        <v>69</v>
      </c>
      <c r="S8" s="9" t="n">
        <f aca="false">IFERROR(INDEX('Search Terms'!$G$5:$G$137,MATCH($A8,'Search Terms'!$A$5:$A$137,0)),0)</f>
        <v>0</v>
      </c>
      <c r="T8" s="7" t="n">
        <f aca="false">IFERROR(INDEX('Search Terms'!$H$5:$H$137,MATCH($A8,'Search Terms'!$A$5:$A$137,0)),0)</f>
        <v>59.04</v>
      </c>
      <c r="U8" s="7" t="n">
        <f aca="false">IF(R8=0,0,T8/R8)</f>
        <v>0.855652173913044</v>
      </c>
      <c r="V8" s="8" t="n">
        <f aca="false">IFERROR(INDEX('Search Terms'!$D$5:$D$137,MATCH($A8,'Search Terms'!$A$5:$A$137,0)),"")</f>
        <v>125</v>
      </c>
      <c r="W8" s="7" t="n">
        <f aca="false">Rules!$B$19*Rules!$B$35*I8</f>
        <v>0.177777095262884</v>
      </c>
      <c r="X8" s="7" t="n">
        <f aca="false">Rules!$B$34*I8</f>
        <v>0.0589510671525247</v>
      </c>
      <c r="Y8" s="34" t="n">
        <f aca="false">IF(W8=0,"",U8/W8)</f>
        <v>4.81306195630976</v>
      </c>
      <c r="Z8" s="17" t="s">
        <v>358</v>
      </c>
    </row>
    <row r="9" customFormat="false" ht="25.35" hidden="false" customHeight="false" outlineLevel="0" collapsed="false">
      <c r="A9" s="8" t="s">
        <v>217</v>
      </c>
      <c r="B9" s="31" t="n">
        <v>6</v>
      </c>
      <c r="C9" s="19" t="n">
        <v>2927</v>
      </c>
      <c r="D9" s="19" t="n">
        <v>79741</v>
      </c>
      <c r="E9" s="19" t="n">
        <v>1468</v>
      </c>
      <c r="F9" s="19" t="n">
        <v>199</v>
      </c>
      <c r="G9" s="19" t="n">
        <v>35</v>
      </c>
      <c r="H9" s="10" t="n">
        <f aca="false">IF(E9=0,0,F9/E9)</f>
        <v>0.135558583106267</v>
      </c>
      <c r="I9" s="32" t="n">
        <f aca="false">IF(E9=0,0,G9/E9)</f>
        <v>0.023841961852861</v>
      </c>
      <c r="J9" s="19" t="n">
        <v>852</v>
      </c>
      <c r="K9" s="32" t="n">
        <f aca="false">IF(D9=0,0,J9/D9)</f>
        <v>0.0106845913645427</v>
      </c>
      <c r="L9" s="19" t="n">
        <v>22</v>
      </c>
      <c r="M9" s="32" t="n">
        <f aca="false">IF(E9=0,0,L9/E9)</f>
        <v>0.0149863760217984</v>
      </c>
      <c r="N9" s="19" t="n">
        <v>1</v>
      </c>
      <c r="O9" s="25" t="n">
        <f aca="false">L9*H9</f>
        <v>2.98228882833788</v>
      </c>
      <c r="P9" s="33" t="n">
        <f aca="false">BINOMDIST(N9,L9,H9,TRUE())</f>
        <v>0.180525530109143</v>
      </c>
      <c r="Q9" s="19" t="n">
        <v>0</v>
      </c>
      <c r="R9" s="9" t="n">
        <f aca="false">IFERROR(INDEX('Search Terms'!$F$5:$F$137,MATCH($A9,'Search Terms'!$A$5:$A$137,0)),0)</f>
        <v>98</v>
      </c>
      <c r="S9" s="9" t="n">
        <f aca="false">IFERROR(INDEX('Search Terms'!$G$5:$G$137,MATCH($A9,'Search Terms'!$A$5:$A$137,0)),0)</f>
        <v>0</v>
      </c>
      <c r="T9" s="7" t="n">
        <f aca="false">IFERROR(INDEX('Search Terms'!$H$5:$H$137,MATCH($A9,'Search Terms'!$A$5:$A$137,0)),0)</f>
        <v>81.77</v>
      </c>
      <c r="U9" s="7" t="n">
        <f aca="false">IF(R9=0,0,T9/R9)</f>
        <v>0.834387755102041</v>
      </c>
      <c r="V9" s="8" t="n">
        <f aca="false">IFERROR(INDEX('Search Terms'!$D$5:$D$137,MATCH($A9,'Search Terms'!$A$5:$A$137,0)),"")</f>
        <v>120</v>
      </c>
      <c r="W9" s="7" t="n">
        <f aca="false">Rules!$B$19*Rules!$B$35*I9</f>
        <v>0.280767711171662</v>
      </c>
      <c r="X9" s="7" t="n">
        <f aca="false">Rules!$B$34*I9</f>
        <v>0.0931028610354224</v>
      </c>
      <c r="Y9" s="34" t="n">
        <f aca="false">IF(W9=0,"",U9/W9)</f>
        <v>2.97180808868686</v>
      </c>
      <c r="Z9" s="17" t="s">
        <v>359</v>
      </c>
    </row>
    <row r="10" customFormat="false" ht="25.35" hidden="false" customHeight="false" outlineLevel="0" collapsed="false">
      <c r="A10" s="8" t="s">
        <v>121</v>
      </c>
      <c r="B10" s="31" t="n">
        <v>8</v>
      </c>
      <c r="C10" s="19" t="n">
        <v>2828</v>
      </c>
      <c r="D10" s="19" t="n">
        <v>83010</v>
      </c>
      <c r="E10" s="19" t="n">
        <v>1390</v>
      </c>
      <c r="F10" s="19" t="n">
        <v>184</v>
      </c>
      <c r="G10" s="19" t="n">
        <v>18</v>
      </c>
      <c r="H10" s="10" t="n">
        <f aca="false">IF(E10=0,0,F10/E10)</f>
        <v>0.132374100719424</v>
      </c>
      <c r="I10" s="32" t="n">
        <f aca="false">IF(E10=0,0,G10/E10)</f>
        <v>0.0129496402877698</v>
      </c>
      <c r="J10" s="19" t="n">
        <v>1427</v>
      </c>
      <c r="K10" s="32" t="n">
        <f aca="false">IF(D10=0,0,J10/D10)</f>
        <v>0.0171906999156728</v>
      </c>
      <c r="L10" s="19" t="n">
        <v>24</v>
      </c>
      <c r="M10" s="32" t="n">
        <f aca="false">IF(E10=0,0,L10/E10)</f>
        <v>0.0172661870503597</v>
      </c>
      <c r="N10" s="19" t="n">
        <v>3</v>
      </c>
      <c r="O10" s="25" t="n">
        <f aca="false">L10*H10</f>
        <v>3.17697841726619</v>
      </c>
      <c r="P10" s="33" t="n">
        <f aca="false">BINOMDIST(N10,L10,H10,TRUE())</f>
        <v>0.605100684806531</v>
      </c>
      <c r="Q10" s="19" t="n">
        <v>0</v>
      </c>
      <c r="R10" s="9" t="n">
        <f aca="false">IFERROR(INDEX('Search Terms'!$F$5:$F$137,MATCH($A10,'Search Terms'!$A$5:$A$137,0)),0)</f>
        <v>182</v>
      </c>
      <c r="S10" s="9" t="n">
        <f aca="false">IFERROR(INDEX('Search Terms'!$G$5:$G$137,MATCH($A10,'Search Terms'!$A$5:$A$137,0)),0)</f>
        <v>4</v>
      </c>
      <c r="T10" s="7" t="n">
        <f aca="false">IFERROR(INDEX('Search Terms'!$H$5:$H$137,MATCH($A10,'Search Terms'!$A$5:$A$137,0)),0)</f>
        <v>124.87</v>
      </c>
      <c r="U10" s="7" t="n">
        <f aca="false">IF(R10=0,0,T10/R10)</f>
        <v>0.686098901098901</v>
      </c>
      <c r="V10" s="8" t="n">
        <f aca="false">IFERROR(INDEX('Search Terms'!$D$5:$D$137,MATCH($A10,'Search Terms'!$A$5:$A$137,0)),"")</f>
        <v>79</v>
      </c>
      <c r="W10" s="7" t="n">
        <f aca="false">Rules!$B$19*Rules!$B$35*I10</f>
        <v>0.152497553956835</v>
      </c>
      <c r="X10" s="7" t="n">
        <f aca="false">Rules!$B$34*I10</f>
        <v>0.050568345323741</v>
      </c>
      <c r="Y10" s="34" t="n">
        <f aca="false">IF(W10=0,"",U10/W10)</f>
        <v>4.49908135112191</v>
      </c>
      <c r="Z10" s="17" t="s">
        <v>360</v>
      </c>
    </row>
    <row r="11" customFormat="false" ht="15" hidden="false" customHeight="false" outlineLevel="0" collapsed="false">
      <c r="A11" s="8" t="s">
        <v>127</v>
      </c>
      <c r="B11" s="31" t="n">
        <v>7</v>
      </c>
      <c r="C11" s="19" t="n">
        <v>1719</v>
      </c>
      <c r="D11" s="19" t="n">
        <v>51710</v>
      </c>
      <c r="E11" s="19" t="n">
        <v>671</v>
      </c>
      <c r="F11" s="19" t="n">
        <v>75</v>
      </c>
      <c r="G11" s="19" t="n">
        <v>10</v>
      </c>
      <c r="H11" s="10" t="n">
        <f aca="false">IF(E11=0,0,F11/E11)</f>
        <v>0.11177347242921</v>
      </c>
      <c r="I11" s="32" t="n">
        <f aca="false">IF(E11=0,0,G11/E11)</f>
        <v>0.014903129657228</v>
      </c>
      <c r="J11" s="19" t="n">
        <v>690</v>
      </c>
      <c r="K11" s="32" t="n">
        <f aca="false">IF(D11=0,0,J11/D11)</f>
        <v>0.0133436472635854</v>
      </c>
      <c r="L11" s="19" t="n">
        <v>14</v>
      </c>
      <c r="M11" s="32" t="n">
        <f aca="false">IF(E11=0,0,L11/E11)</f>
        <v>0.0208643815201192</v>
      </c>
      <c r="N11" s="19" t="n">
        <v>1</v>
      </c>
      <c r="O11" s="25" t="n">
        <f aca="false">L11*H11</f>
        <v>1.56482861400894</v>
      </c>
      <c r="P11" s="33" t="n">
        <f aca="false">BINOMDIST(N11,L11,H11,TRUE())</f>
        <v>0.525431281783292</v>
      </c>
      <c r="Q11" s="19" t="n">
        <v>0</v>
      </c>
      <c r="R11" s="9" t="n">
        <f aca="false">IFERROR(INDEX('Search Terms'!$F$5:$F$137,MATCH($A11,'Search Terms'!$A$5:$A$137,0)),0)</f>
        <v>41</v>
      </c>
      <c r="S11" s="9" t="n">
        <f aca="false">IFERROR(INDEX('Search Terms'!$G$5:$G$137,MATCH($A11,'Search Terms'!$A$5:$A$137,0)),0)</f>
        <v>1</v>
      </c>
      <c r="T11" s="7" t="n">
        <f aca="false">IFERROR(INDEX('Search Terms'!$H$5:$H$137,MATCH($A11,'Search Terms'!$A$5:$A$137,0)),0)</f>
        <v>35.93</v>
      </c>
      <c r="U11" s="7" t="n">
        <f aca="false">IF(R11=0,0,T11/R11)</f>
        <v>0.876341463414634</v>
      </c>
      <c r="V11" s="8" t="n">
        <f aca="false">IFERROR(INDEX('Search Terms'!$D$5:$D$137,MATCH($A11,'Search Terms'!$A$5:$A$137,0)),"")</f>
        <v>85</v>
      </c>
      <c r="W11" s="7" t="n">
        <f aca="false">Rules!$B$19*Rules!$B$35*I11</f>
        <v>0.175502235469449</v>
      </c>
      <c r="X11" s="7" t="n">
        <f aca="false">Rules!$B$34*I11</f>
        <v>0.0581967213114754</v>
      </c>
      <c r="Y11" s="34" t="n">
        <f aca="false">IF(W11=0,"",U11/W11)</f>
        <v>4.99333504824323</v>
      </c>
      <c r="Z11" s="17" t="s">
        <v>361</v>
      </c>
    </row>
    <row r="12" customFormat="false" ht="25.35" hidden="false" customHeight="false" outlineLevel="0" collapsed="false">
      <c r="A12" s="8" t="s">
        <v>362</v>
      </c>
      <c r="B12" s="31" t="n">
        <v>7</v>
      </c>
      <c r="C12" s="19" t="n">
        <v>1768</v>
      </c>
      <c r="D12" s="19" t="n">
        <v>53387</v>
      </c>
      <c r="E12" s="19" t="n">
        <v>985</v>
      </c>
      <c r="F12" s="19" t="n">
        <v>73</v>
      </c>
      <c r="G12" s="19" t="n">
        <v>13</v>
      </c>
      <c r="H12" s="10" t="n">
        <f aca="false">IF(E12=0,0,F12/E12)</f>
        <v>0.0741116751269036</v>
      </c>
      <c r="I12" s="32" t="n">
        <f aca="false">IF(E12=0,0,G12/E12)</f>
        <v>0.0131979695431472</v>
      </c>
      <c r="J12" s="19" t="n">
        <v>540</v>
      </c>
      <c r="K12" s="32" t="n">
        <f aca="false">IF(D12=0,0,J12/D12)</f>
        <v>0.0101148219604023</v>
      </c>
      <c r="L12" s="19" t="n">
        <v>12</v>
      </c>
      <c r="M12" s="32" t="n">
        <f aca="false">IF(E12=0,0,L12/E12)</f>
        <v>0.0121827411167513</v>
      </c>
      <c r="N12" s="19" t="n">
        <v>1</v>
      </c>
      <c r="O12" s="25" t="n">
        <f aca="false">L12*H12</f>
        <v>0.889340101522843</v>
      </c>
      <c r="P12" s="33" t="n">
        <f aca="false">BINOMDIST(N12,L12,H12,TRUE())</f>
        <v>0.778172663028336</v>
      </c>
      <c r="Q12" s="19" t="n">
        <v>1</v>
      </c>
      <c r="R12" s="9" t="n">
        <f aca="false">IFERROR(INDEX('Search Terms'!$F$5:$F$137,MATCH($A12,'Search Terms'!$A$5:$A$137,0)),0)</f>
        <v>11</v>
      </c>
      <c r="S12" s="9" t="n">
        <f aca="false">IFERROR(INDEX('Search Terms'!$G$5:$G$137,MATCH($A12,'Search Terms'!$A$5:$A$137,0)),0)</f>
        <v>2</v>
      </c>
      <c r="T12" s="7" t="n">
        <f aca="false">IFERROR(INDEX('Search Terms'!$H$5:$H$137,MATCH($A12,'Search Terms'!$A$5:$A$137,0)),0)</f>
        <v>10.44</v>
      </c>
      <c r="U12" s="7" t="n">
        <f aca="false">IF(R12=0,0,T12/R12)</f>
        <v>0.949090909090909</v>
      </c>
      <c r="V12" s="8" t="n">
        <f aca="false">IFERROR(INDEX('Search Terms'!$D$5:$D$137,MATCH($A12,'Search Terms'!$A$5:$A$137,0)),"")</f>
        <v>80</v>
      </c>
      <c r="W12" s="7" t="n">
        <f aca="false">Rules!$B$19*Rules!$B$35*I12</f>
        <v>0.15542192893401</v>
      </c>
      <c r="X12" s="7" t="n">
        <f aca="false">Rules!$B$34*I12</f>
        <v>0.0515380710659899</v>
      </c>
      <c r="Y12" s="34" t="n">
        <f aca="false">IF(W12=0,"",U12/W12)</f>
        <v>6.10654439563595</v>
      </c>
      <c r="Z12" s="17" t="s">
        <v>363</v>
      </c>
    </row>
    <row r="13" customFormat="false" ht="25.35" hidden="false" customHeight="false" outlineLevel="0" collapsed="false">
      <c r="A13" s="8" t="s">
        <v>155</v>
      </c>
      <c r="B13" s="31" t="n">
        <v>7</v>
      </c>
      <c r="C13" s="19" t="n">
        <v>1365</v>
      </c>
      <c r="D13" s="19" t="n">
        <v>38806</v>
      </c>
      <c r="E13" s="19" t="n">
        <v>878</v>
      </c>
      <c r="F13" s="19" t="n">
        <v>45</v>
      </c>
      <c r="G13" s="19" t="n">
        <v>8</v>
      </c>
      <c r="H13" s="10" t="n">
        <f aca="false">IF(E13=0,0,F13/E13)</f>
        <v>0.05125284738041</v>
      </c>
      <c r="I13" s="32" t="n">
        <f aca="false">IF(E13=0,0,G13/E13)</f>
        <v>0.00911161731207289</v>
      </c>
      <c r="J13" s="19" t="n">
        <v>640</v>
      </c>
      <c r="K13" s="32" t="n">
        <f aca="false">IF(D13=0,0,J13/D13)</f>
        <v>0.0164922950059269</v>
      </c>
      <c r="L13" s="19" t="n">
        <v>29</v>
      </c>
      <c r="M13" s="32" t="n">
        <f aca="false">IF(E13=0,0,L13/E13)</f>
        <v>0.0330296127562642</v>
      </c>
      <c r="N13" s="19" t="n">
        <v>1</v>
      </c>
      <c r="O13" s="25" t="n">
        <f aca="false">L13*H13</f>
        <v>1.48633257403189</v>
      </c>
      <c r="P13" s="33" t="n">
        <f aca="false">BINOMDIST(N13,L13,H13,TRUE())</f>
        <v>0.558118963458452</v>
      </c>
      <c r="Q13" s="19" t="n">
        <v>0</v>
      </c>
      <c r="R13" s="9" t="n">
        <f aca="false">IFERROR(INDEX('Search Terms'!$F$5:$F$137,MATCH($A13,'Search Terms'!$A$5:$A$137,0)),0)</f>
        <v>35</v>
      </c>
      <c r="S13" s="9" t="n">
        <f aca="false">IFERROR(INDEX('Search Terms'!$G$5:$G$137,MATCH($A13,'Search Terms'!$A$5:$A$137,0)),0)</f>
        <v>1</v>
      </c>
      <c r="T13" s="7" t="n">
        <f aca="false">IFERROR(INDEX('Search Terms'!$H$5:$H$137,MATCH($A13,'Search Terms'!$A$5:$A$137,0)),0)</f>
        <v>37.34</v>
      </c>
      <c r="U13" s="7" t="n">
        <f aca="false">IF(R13=0,0,T13/R13)</f>
        <v>1.06685714285714</v>
      </c>
      <c r="V13" s="8" t="n">
        <f aca="false">IFERROR(INDEX('Search Terms'!$D$5:$D$137,MATCH($A13,'Search Terms'!$A$5:$A$137,0)),"")</f>
        <v>55</v>
      </c>
      <c r="W13" s="7" t="n">
        <f aca="false">Rules!$B$19*Rules!$B$35*I13</f>
        <v>0.107300227790433</v>
      </c>
      <c r="X13" s="7" t="n">
        <f aca="false">Rules!$B$34*I13</f>
        <v>0.0355808656036446</v>
      </c>
      <c r="Y13" s="34" t="n">
        <f aca="false">IF(W13=0,"",U13/W13)</f>
        <v>9.94272952468296</v>
      </c>
      <c r="Z13" s="17" t="s">
        <v>364</v>
      </c>
    </row>
    <row r="14" customFormat="false" ht="15" hidden="false" customHeight="false" outlineLevel="0" collapsed="false">
      <c r="A14" s="8" t="s">
        <v>137</v>
      </c>
      <c r="B14" s="31" t="n">
        <v>7</v>
      </c>
      <c r="C14" s="19" t="n">
        <v>1537</v>
      </c>
      <c r="D14" s="19" t="n">
        <v>41780</v>
      </c>
      <c r="E14" s="19" t="n">
        <v>879</v>
      </c>
      <c r="F14" s="19" t="n">
        <v>83</v>
      </c>
      <c r="G14" s="19" t="n">
        <v>15</v>
      </c>
      <c r="H14" s="10" t="n">
        <f aca="false">IF(E14=0,0,F14/E14)</f>
        <v>0.0944254835039818</v>
      </c>
      <c r="I14" s="32" t="n">
        <f aca="false">IF(E14=0,0,G14/E14)</f>
        <v>0.0170648464163823</v>
      </c>
      <c r="J14" s="19" t="n">
        <v>940</v>
      </c>
      <c r="K14" s="32" t="n">
        <f aca="false">IF(D14=0,0,J14/D14)</f>
        <v>0.022498803255146</v>
      </c>
      <c r="L14" s="19" t="n">
        <v>23</v>
      </c>
      <c r="M14" s="32" t="n">
        <f aca="false">IF(E14=0,0,L14/E14)</f>
        <v>0.0261660978384528</v>
      </c>
      <c r="N14" s="19" t="n">
        <v>3</v>
      </c>
      <c r="O14" s="25" t="n">
        <f aca="false">L14*H14</f>
        <v>2.17178612059158</v>
      </c>
      <c r="P14" s="33" t="n">
        <f aca="false">BINOMDIST(N14,L14,H14,TRUE())</f>
        <v>0.833247296989464</v>
      </c>
      <c r="Q14" s="19" t="n">
        <v>1</v>
      </c>
      <c r="R14" s="9" t="n">
        <f aca="false">IFERROR(INDEX('Search Terms'!$F$5:$F$137,MATCH($A14,'Search Terms'!$A$5:$A$137,0)),0)</f>
        <v>108</v>
      </c>
      <c r="S14" s="9" t="n">
        <f aca="false">IFERROR(INDEX('Search Terms'!$G$5:$G$137,MATCH($A14,'Search Terms'!$A$5:$A$137,0)),0)</f>
        <v>1</v>
      </c>
      <c r="T14" s="7" t="n">
        <f aca="false">IFERROR(INDEX('Search Terms'!$H$5:$H$137,MATCH($A14,'Search Terms'!$A$5:$A$137,0)),0)</f>
        <v>85.08</v>
      </c>
      <c r="U14" s="7" t="n">
        <f aca="false">IF(R14=0,0,T14/R14)</f>
        <v>0.787777777777778</v>
      </c>
      <c r="V14" s="8" t="n">
        <f aca="false">IFERROR(INDEX('Search Terms'!$D$5:$D$137,MATCH($A14,'Search Terms'!$A$5:$A$137,0)),"")</f>
        <v>85</v>
      </c>
      <c r="W14" s="7" t="n">
        <f aca="false">Rules!$B$19*Rules!$B$35*I14</f>
        <v>0.200959044368601</v>
      </c>
      <c r="X14" s="7" t="n">
        <f aca="false">Rules!$B$34*I14</f>
        <v>0.0666382252559727</v>
      </c>
      <c r="Y14" s="34" t="n">
        <f aca="false">IF(W14=0,"",U14/W14)</f>
        <v>3.92009118202627</v>
      </c>
      <c r="Z14" s="17" t="s">
        <v>365</v>
      </c>
    </row>
    <row r="16" customFormat="false" ht="15" hidden="false" customHeight="false" outlineLevel="0" collapsed="false">
      <c r="A16" s="3" t="s">
        <v>366</v>
      </c>
    </row>
    <row r="17" customFormat="false" ht="21.75" hidden="false" customHeight="true" outlineLevel="0" collapsed="false">
      <c r="A17" s="5" t="s">
        <v>367</v>
      </c>
      <c r="B17" s="5" t="s">
        <v>368</v>
      </c>
      <c r="C17" s="5"/>
      <c r="D17" s="5"/>
      <c r="E17" s="5"/>
      <c r="F17" s="5"/>
      <c r="G17" s="5" t="s">
        <v>369</v>
      </c>
    </row>
    <row r="18" customFormat="false" ht="48" hidden="false" customHeight="true" outlineLevel="0" collapsed="false">
      <c r="A18" s="35" t="s">
        <v>370</v>
      </c>
      <c r="B18" s="17" t="s">
        <v>371</v>
      </c>
      <c r="C18" s="17"/>
      <c r="D18" s="17"/>
      <c r="E18" s="17"/>
      <c r="F18" s="17"/>
      <c r="G18" s="17" t="s">
        <v>372</v>
      </c>
      <c r="H18" s="17"/>
      <c r="I18" s="17"/>
      <c r="J18" s="17"/>
      <c r="K18" s="17"/>
      <c r="L18" s="17"/>
    </row>
    <row r="19" customFormat="false" ht="48" hidden="false" customHeight="true" outlineLevel="0" collapsed="false">
      <c r="A19" s="35" t="s">
        <v>373</v>
      </c>
      <c r="B19" s="17" t="s">
        <v>374</v>
      </c>
      <c r="C19" s="17"/>
      <c r="D19" s="17"/>
      <c r="E19" s="17"/>
      <c r="F19" s="17"/>
      <c r="G19" s="17" t="s">
        <v>375</v>
      </c>
      <c r="H19" s="17"/>
      <c r="I19" s="17"/>
      <c r="J19" s="17"/>
      <c r="K19" s="17"/>
      <c r="L19" s="17"/>
    </row>
    <row r="20" customFormat="false" ht="48" hidden="false" customHeight="true" outlineLevel="0" collapsed="false">
      <c r="A20" s="35" t="s">
        <v>376</v>
      </c>
      <c r="B20" s="17" t="s">
        <v>377</v>
      </c>
      <c r="C20" s="17"/>
      <c r="D20" s="17"/>
      <c r="E20" s="17"/>
      <c r="F20" s="17"/>
      <c r="G20" s="17" t="s">
        <v>378</v>
      </c>
      <c r="H20" s="17"/>
      <c r="I20" s="17"/>
      <c r="J20" s="17"/>
      <c r="K20" s="17"/>
      <c r="L20" s="17"/>
    </row>
    <row r="21" customFormat="false" ht="48" hidden="false" customHeight="true" outlineLevel="0" collapsed="false">
      <c r="A21" s="35" t="s">
        <v>379</v>
      </c>
      <c r="B21" s="17" t="s">
        <v>380</v>
      </c>
      <c r="C21" s="17"/>
      <c r="D21" s="17"/>
      <c r="E21" s="17"/>
      <c r="F21" s="17"/>
      <c r="G21" s="17" t="s">
        <v>381</v>
      </c>
      <c r="H21" s="17"/>
      <c r="I21" s="17"/>
      <c r="J21" s="17"/>
      <c r="K21" s="17"/>
      <c r="L21" s="17"/>
    </row>
    <row r="22" customFormat="false" ht="48" hidden="false" customHeight="true" outlineLevel="0" collapsed="false">
      <c r="A22" s="35" t="s">
        <v>382</v>
      </c>
      <c r="B22" s="17" t="s">
        <v>383</v>
      </c>
      <c r="C22" s="17"/>
      <c r="D22" s="17"/>
      <c r="E22" s="17"/>
      <c r="F22" s="17"/>
      <c r="G22" s="17" t="s">
        <v>384</v>
      </c>
      <c r="H22" s="17"/>
      <c r="I22" s="17"/>
      <c r="J22" s="17"/>
      <c r="K22" s="17"/>
      <c r="L22" s="17"/>
    </row>
    <row r="23" customFormat="false" ht="48" hidden="false" customHeight="true" outlineLevel="0" collapsed="false">
      <c r="A23" s="35" t="s">
        <v>385</v>
      </c>
      <c r="B23" s="17" t="s">
        <v>386</v>
      </c>
      <c r="C23" s="17"/>
      <c r="D23" s="17"/>
      <c r="E23" s="17"/>
      <c r="F23" s="17"/>
      <c r="G23" s="17" t="s">
        <v>387</v>
      </c>
      <c r="H23" s="17"/>
      <c r="I23" s="17"/>
      <c r="J23" s="17"/>
      <c r="K23" s="17"/>
      <c r="L23" s="17"/>
    </row>
  </sheetData>
  <mergeCells count="12">
    <mergeCell ref="B18:F18"/>
    <mergeCell ref="G18:L18"/>
    <mergeCell ref="B19:F19"/>
    <mergeCell ref="G19:L19"/>
    <mergeCell ref="B20:F20"/>
    <mergeCell ref="G20:L20"/>
    <mergeCell ref="B21:F21"/>
    <mergeCell ref="G21:L21"/>
    <mergeCell ref="B22:F22"/>
    <mergeCell ref="G22:L22"/>
    <mergeCell ref="B23:F23"/>
    <mergeCell ref="G23:L23"/>
  </mergeCells>
  <conditionalFormatting sqref="P5:P14">
    <cfRule type="expression" priority="2" aboveAverage="0" equalAverage="0" bottom="0" percent="0" rank="0" text="" dxfId="2">
      <formula>P5&lt;0.05</formula>
    </cfRule>
  </conditionalFormatting>
  <conditionalFormatting sqref="Y5:Y14">
    <cfRule type="expression" priority="3" aboveAverage="0" equalAverage="0" bottom="0" percent="0" rank="0" text="" dxfId="2">
      <formula>AND(ISNUMBER(Y5),Y5&gt;2)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O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0"/>
    <col collapsed="false" customWidth="true" hidden="false" outlineLevel="0" max="12" min="10" style="0" width="8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62"/>
  </cols>
  <sheetData>
    <row r="1" customFormat="false" ht="17.35" hidden="false" customHeight="false" outlineLevel="0" collapsed="false">
      <c r="A1" s="11" t="s">
        <v>388</v>
      </c>
    </row>
    <row r="2" customFormat="false" ht="15" hidden="false" customHeight="false" outlineLevel="0" collapsed="false">
      <c r="A2" s="12" t="s">
        <v>389</v>
      </c>
    </row>
    <row r="4" customFormat="false" ht="45" hidden="false" customHeight="true" outlineLevel="0" collapsed="false">
      <c r="A4" s="5" t="s">
        <v>390</v>
      </c>
      <c r="B4" s="5" t="s">
        <v>391</v>
      </c>
      <c r="C4" s="5" t="s">
        <v>392</v>
      </c>
      <c r="D4" s="5" t="s">
        <v>393</v>
      </c>
      <c r="E4" s="5" t="s">
        <v>394</v>
      </c>
      <c r="F4" s="5" t="s">
        <v>11</v>
      </c>
      <c r="G4" s="5" t="s">
        <v>12</v>
      </c>
      <c r="H4" s="5" t="s">
        <v>395</v>
      </c>
      <c r="I4" s="5" t="s">
        <v>396</v>
      </c>
      <c r="J4" s="5" t="s">
        <v>397</v>
      </c>
      <c r="K4" s="5" t="s">
        <v>398</v>
      </c>
      <c r="L4" s="5" t="s">
        <v>19</v>
      </c>
      <c r="M4" s="5" t="s">
        <v>399</v>
      </c>
      <c r="N4" s="5" t="s">
        <v>315</v>
      </c>
      <c r="O4" s="5" t="s">
        <v>400</v>
      </c>
    </row>
    <row r="5" customFormat="false" ht="15" hidden="false" customHeight="false" outlineLevel="0" collapsed="false">
      <c r="A5" s="8" t="s">
        <v>163</v>
      </c>
      <c r="B5" s="8" t="s">
        <v>401</v>
      </c>
      <c r="C5" s="9" t="n">
        <v>94</v>
      </c>
      <c r="D5" s="8" t="n">
        <v>113</v>
      </c>
      <c r="E5" s="9" t="n">
        <v>16412</v>
      </c>
      <c r="F5" s="9" t="n">
        <v>1041</v>
      </c>
      <c r="G5" s="9" t="n">
        <v>9</v>
      </c>
      <c r="H5" s="7" t="n">
        <v>212.99</v>
      </c>
      <c r="I5" s="7" t="n">
        <v>282.91</v>
      </c>
      <c r="J5" s="7" t="n">
        <f aca="false">IF(F5=0,0,H5/F5)</f>
        <v>0.204601344860711</v>
      </c>
      <c r="K5" s="10" t="n">
        <f aca="false">IF(F5=0,0,G5/F5)</f>
        <v>0.00864553314121038</v>
      </c>
      <c r="L5" s="10" t="n">
        <f aca="false">IF(I5=0,"",H5/I5)</f>
        <v>0.752854264607119</v>
      </c>
      <c r="M5" s="10" t="n">
        <v>0.966133584195673</v>
      </c>
      <c r="N5" s="8" t="str">
        <f aca="false">IF(G5&gt;0,"Converting",IF(F5&gt;=Rules!$B$10,"Waste: 20+ clicks, 0 orders",IF(H5&gt;0,"Waste so far (under 20 clicks)","")))</f>
        <v>Converting</v>
      </c>
      <c r="O5" s="8" t="s">
        <v>402</v>
      </c>
    </row>
    <row r="6" customFormat="false" ht="15" hidden="false" customHeight="false" outlineLevel="0" collapsed="false">
      <c r="A6" s="8" t="s">
        <v>142</v>
      </c>
      <c r="B6" s="8" t="s">
        <v>403</v>
      </c>
      <c r="C6" s="9" t="n">
        <v>4932</v>
      </c>
      <c r="D6" s="8" t="n">
        <v>133</v>
      </c>
      <c r="E6" s="9" t="n">
        <v>22178</v>
      </c>
      <c r="F6" s="9" t="n">
        <v>179</v>
      </c>
      <c r="G6" s="9" t="n">
        <v>2</v>
      </c>
      <c r="H6" s="7" t="n">
        <v>132.1</v>
      </c>
      <c r="I6" s="7" t="n">
        <v>61.98</v>
      </c>
      <c r="J6" s="7" t="n">
        <f aca="false">IF(F6=0,0,H6/F6)</f>
        <v>0.737988826815642</v>
      </c>
      <c r="K6" s="10" t="n">
        <f aca="false">IF(F6=0,0,G6/F6)</f>
        <v>0.0111731843575419</v>
      </c>
      <c r="L6" s="10" t="n">
        <f aca="false">IF(I6=0,"",H6/I6)</f>
        <v>2.13133268796386</v>
      </c>
      <c r="M6" s="10" t="n">
        <v>0</v>
      </c>
      <c r="N6" s="8" t="str">
        <f aca="false">IF(G6&gt;0,"Converting",IF(F6&gt;=Rules!$B$10,"Waste: 20+ clicks, 0 orders",IF(H6&gt;0,"Waste so far (under 20 clicks)","")))</f>
        <v>Converting</v>
      </c>
      <c r="O6" s="8" t="s">
        <v>404</v>
      </c>
    </row>
    <row r="7" customFormat="false" ht="15" hidden="false" customHeight="false" outlineLevel="0" collapsed="false">
      <c r="A7" s="8" t="s">
        <v>121</v>
      </c>
      <c r="B7" s="8" t="s">
        <v>403</v>
      </c>
      <c r="C7" s="9" t="n">
        <v>725</v>
      </c>
      <c r="D7" s="8" t="n">
        <v>79</v>
      </c>
      <c r="E7" s="9" t="n">
        <v>17704</v>
      </c>
      <c r="F7" s="9" t="n">
        <v>182</v>
      </c>
      <c r="G7" s="9" t="n">
        <v>4</v>
      </c>
      <c r="H7" s="7" t="n">
        <v>124.87</v>
      </c>
      <c r="I7" s="7" t="n">
        <v>150.95</v>
      </c>
      <c r="J7" s="7" t="n">
        <f aca="false">IF(F7=0,0,H7/F7)</f>
        <v>0.686098901098901</v>
      </c>
      <c r="K7" s="10" t="n">
        <f aca="false">IF(F7=0,0,G7/F7)</f>
        <v>0.021978021978022</v>
      </c>
      <c r="L7" s="10" t="n">
        <f aca="false">IF(I7=0,"",H7/I7)</f>
        <v>0.827227558794303</v>
      </c>
      <c r="M7" s="10" t="n">
        <v>0</v>
      </c>
      <c r="N7" s="8" t="str">
        <f aca="false">IF(G7&gt;0,"Converting",IF(F7&gt;=Rules!$B$10,"Waste: 20+ clicks, 0 orders",IF(H7&gt;0,"Waste so far (under 20 clicks)","")))</f>
        <v>Converting</v>
      </c>
      <c r="O7" s="8" t="s">
        <v>404</v>
      </c>
    </row>
    <row r="8" customFormat="false" ht="15" hidden="false" customHeight="false" outlineLevel="0" collapsed="false">
      <c r="A8" s="8" t="s">
        <v>137</v>
      </c>
      <c r="B8" s="8" t="s">
        <v>403</v>
      </c>
      <c r="C8" s="9" t="n">
        <v>497</v>
      </c>
      <c r="D8" s="8" t="n">
        <v>85</v>
      </c>
      <c r="E8" s="9" t="n">
        <v>4893</v>
      </c>
      <c r="F8" s="9" t="n">
        <v>108</v>
      </c>
      <c r="G8" s="9" t="n">
        <v>1</v>
      </c>
      <c r="H8" s="7" t="n">
        <v>85.08</v>
      </c>
      <c r="I8" s="7" t="n">
        <v>26.99</v>
      </c>
      <c r="J8" s="7" t="n">
        <f aca="false">IF(F8=0,0,H8/F8)</f>
        <v>0.787777777777778</v>
      </c>
      <c r="K8" s="10" t="n">
        <f aca="false">IF(F8=0,0,G8/F8)</f>
        <v>0.00925925925925926</v>
      </c>
      <c r="L8" s="10" t="n">
        <f aca="false">IF(I8=0,"",H8/I8)</f>
        <v>3.15227862171175</v>
      </c>
      <c r="M8" s="10" t="n">
        <v>0.88655462184874</v>
      </c>
      <c r="N8" s="8" t="str">
        <f aca="false">IF(G8&gt;0,"Converting",IF(F8&gt;=Rules!$B$10,"Waste: 20+ clicks, 0 orders",IF(H8&gt;0,"Waste so far (under 20 clicks)","")))</f>
        <v>Converting</v>
      </c>
      <c r="O8" s="8" t="s">
        <v>402</v>
      </c>
    </row>
    <row r="9" customFormat="false" ht="15" hidden="false" customHeight="false" outlineLevel="0" collapsed="false">
      <c r="A9" s="8" t="s">
        <v>217</v>
      </c>
      <c r="B9" s="8" t="s">
        <v>403</v>
      </c>
      <c r="C9" s="9" t="n">
        <v>869</v>
      </c>
      <c r="D9" s="8" t="n">
        <v>120</v>
      </c>
      <c r="E9" s="9" t="n">
        <v>11748</v>
      </c>
      <c r="F9" s="9" t="n">
        <v>98</v>
      </c>
      <c r="G9" s="9" t="n">
        <v>0</v>
      </c>
      <c r="H9" s="7" t="n">
        <v>81.77</v>
      </c>
      <c r="I9" s="7" t="n">
        <v>0</v>
      </c>
      <c r="J9" s="7" t="n">
        <f aca="false">IF(F9=0,0,H9/F9)</f>
        <v>0.834387755102041</v>
      </c>
      <c r="K9" s="10" t="n">
        <f aca="false">IF(F9=0,0,G9/F9)</f>
        <v>0</v>
      </c>
      <c r="L9" s="10" t="str">
        <f aca="false">IF(I9=0,"",H9/I9)</f>
        <v/>
      </c>
      <c r="M9" s="10" t="n">
        <v>0</v>
      </c>
      <c r="N9" s="8" t="str">
        <f aca="false">IF(G9&gt;0,"Converting",IF(F9&gt;=Rules!$B$10,"Waste: 20+ clicks, 0 orders",IF(H9&gt;0,"Waste so far (under 20 clicks)","")))</f>
        <v>Waste: 20+ clicks, 0 orders</v>
      </c>
      <c r="O9" s="8" t="s">
        <v>405</v>
      </c>
    </row>
    <row r="10" customFormat="false" ht="15" hidden="false" customHeight="false" outlineLevel="0" collapsed="false">
      <c r="A10" s="8" t="s">
        <v>146</v>
      </c>
      <c r="B10" s="8" t="s">
        <v>403</v>
      </c>
      <c r="C10" s="9" t="n">
        <v>1229</v>
      </c>
      <c r="D10" s="8" t="n">
        <v>94</v>
      </c>
      <c r="E10" s="9" t="n">
        <v>9372</v>
      </c>
      <c r="F10" s="9" t="n">
        <v>113</v>
      </c>
      <c r="G10" s="9" t="n">
        <v>1</v>
      </c>
      <c r="H10" s="7" t="n">
        <v>81.58</v>
      </c>
      <c r="I10" s="7" t="n">
        <v>26.99</v>
      </c>
      <c r="J10" s="7" t="n">
        <f aca="false">IF(F10=0,0,H10/F10)</f>
        <v>0.721946902654867</v>
      </c>
      <c r="K10" s="10" t="n">
        <f aca="false">IF(F10=0,0,G10/F10)</f>
        <v>0.00884955752212389</v>
      </c>
      <c r="L10" s="10" t="n">
        <f aca="false">IF(I10=0,"",H10/I10)</f>
        <v>3.02260096331975</v>
      </c>
      <c r="M10" s="10" t="n">
        <v>0</v>
      </c>
      <c r="N10" s="8" t="str">
        <f aca="false">IF(G10&gt;0,"Converting",IF(F10&gt;=Rules!$B$10,"Waste: 20+ clicks, 0 orders",IF(H10&gt;0,"Waste so far (under 20 clicks)","")))</f>
        <v>Converting</v>
      </c>
      <c r="O10" s="8" t="s">
        <v>404</v>
      </c>
    </row>
    <row r="11" customFormat="false" ht="15" hidden="false" customHeight="false" outlineLevel="0" collapsed="false">
      <c r="A11" s="8" t="s">
        <v>406</v>
      </c>
      <c r="B11" s="8" t="s">
        <v>403</v>
      </c>
      <c r="C11" s="9" t="n">
        <v>167</v>
      </c>
      <c r="D11" s="8"/>
      <c r="E11" s="9" t="n">
        <v>5248</v>
      </c>
      <c r="F11" s="9" t="n">
        <v>368</v>
      </c>
      <c r="G11" s="9" t="n">
        <v>4</v>
      </c>
      <c r="H11" s="7" t="n">
        <v>73.9</v>
      </c>
      <c r="I11" s="7" t="n">
        <v>123.96</v>
      </c>
      <c r="J11" s="7" t="n">
        <f aca="false">IF(F11=0,0,H11/F11)</f>
        <v>0.200815217391304</v>
      </c>
      <c r="K11" s="10" t="n">
        <f aca="false">IF(F11=0,0,G11/F11)</f>
        <v>0.0108695652173913</v>
      </c>
      <c r="L11" s="10" t="n">
        <f aca="false">IF(I11=0,"",H11/I11)</f>
        <v>0.596160051629558</v>
      </c>
      <c r="M11" s="10" t="n">
        <v>0.88655462184874</v>
      </c>
      <c r="N11" s="8" t="str">
        <f aca="false">IF(G11&gt;0,"Converting",IF(F11&gt;=Rules!$B$10,"Waste: 20+ clicks, 0 orders",IF(H11&gt;0,"Waste so far (under 20 clicks)","")))</f>
        <v>Converting</v>
      </c>
      <c r="O11" s="8" t="s">
        <v>402</v>
      </c>
    </row>
    <row r="12" customFormat="false" ht="15" hidden="false" customHeight="false" outlineLevel="0" collapsed="false">
      <c r="A12" s="8" t="s">
        <v>202</v>
      </c>
      <c r="B12" s="8" t="s">
        <v>407</v>
      </c>
      <c r="C12" s="9" t="n">
        <v>301</v>
      </c>
      <c r="D12" s="8"/>
      <c r="E12" s="9" t="n">
        <v>2989</v>
      </c>
      <c r="F12" s="9" t="n">
        <v>128</v>
      </c>
      <c r="G12" s="9" t="n">
        <v>3</v>
      </c>
      <c r="H12" s="7" t="n">
        <v>62.99</v>
      </c>
      <c r="I12" s="7" t="n">
        <v>88.97</v>
      </c>
      <c r="J12" s="7" t="n">
        <f aca="false">IF(F12=0,0,H12/F12)</f>
        <v>0.492109375</v>
      </c>
      <c r="K12" s="10" t="n">
        <f aca="false">IF(F12=0,0,G12/F12)</f>
        <v>0.0234375</v>
      </c>
      <c r="L12" s="10" t="n">
        <f aca="false">IF(I12=0,"",H12/I12)</f>
        <v>0.707991457794762</v>
      </c>
      <c r="M12" s="10" t="n">
        <v>0.74169921875</v>
      </c>
      <c r="N12" s="8" t="str">
        <f aca="false">IF(G12&gt;0,"Converting",IF(F12&gt;=Rules!$B$10,"Waste: 20+ clicks, 0 orders",IF(H12&gt;0,"Waste so far (under 20 clicks)","")))</f>
        <v>Converting</v>
      </c>
      <c r="O12" s="8" t="s">
        <v>404</v>
      </c>
    </row>
    <row r="13" customFormat="false" ht="15" hidden="false" customHeight="false" outlineLevel="0" collapsed="false">
      <c r="A13" s="8" t="s">
        <v>192</v>
      </c>
      <c r="B13" s="8" t="s">
        <v>403</v>
      </c>
      <c r="C13" s="9" t="n">
        <v>1145</v>
      </c>
      <c r="D13" s="8" t="n">
        <v>125</v>
      </c>
      <c r="E13" s="9" t="n">
        <v>6088</v>
      </c>
      <c r="F13" s="9" t="n">
        <v>69</v>
      </c>
      <c r="G13" s="9" t="n">
        <v>0</v>
      </c>
      <c r="H13" s="7" t="n">
        <v>59.04</v>
      </c>
      <c r="I13" s="7" t="n">
        <v>0</v>
      </c>
      <c r="J13" s="7" t="n">
        <f aca="false">IF(F13=0,0,H13/F13)</f>
        <v>0.855652173913044</v>
      </c>
      <c r="K13" s="10" t="n">
        <f aca="false">IF(F13=0,0,G13/F13)</f>
        <v>0</v>
      </c>
      <c r="L13" s="10" t="str">
        <f aca="false">IF(I13=0,"",H13/I13)</f>
        <v/>
      </c>
      <c r="M13" s="10" t="n">
        <v>0</v>
      </c>
      <c r="N13" s="8" t="str">
        <f aca="false">IF(G13&gt;0,"Converting",IF(F13&gt;=Rules!$B$10,"Waste: 20+ clicks, 0 orders",IF(H13&gt;0,"Waste so far (under 20 clicks)","")))</f>
        <v>Waste: 20+ clicks, 0 orders</v>
      </c>
      <c r="O13" s="8" t="s">
        <v>405</v>
      </c>
    </row>
    <row r="14" customFormat="false" ht="15" hidden="false" customHeight="false" outlineLevel="0" collapsed="false">
      <c r="A14" s="8" t="s">
        <v>150</v>
      </c>
      <c r="B14" s="8" t="s">
        <v>403</v>
      </c>
      <c r="C14" s="9" t="n">
        <v>9420</v>
      </c>
      <c r="D14" s="8" t="n">
        <v>99</v>
      </c>
      <c r="E14" s="9" t="n">
        <v>3407</v>
      </c>
      <c r="F14" s="9" t="n">
        <v>42</v>
      </c>
      <c r="G14" s="9" t="n">
        <v>0</v>
      </c>
      <c r="H14" s="7" t="n">
        <v>39.35</v>
      </c>
      <c r="I14" s="7" t="n">
        <v>0</v>
      </c>
      <c r="J14" s="7" t="n">
        <f aca="false">IF(F14=0,0,H14/F14)</f>
        <v>0.936904761904762</v>
      </c>
      <c r="K14" s="10" t="n">
        <f aca="false">IF(F14=0,0,G14/F14)</f>
        <v>0</v>
      </c>
      <c r="L14" s="10" t="str">
        <f aca="false">IF(I14=0,"",H14/I14)</f>
        <v/>
      </c>
      <c r="M14" s="10" t="n">
        <v>0.00463821892393321</v>
      </c>
      <c r="N14" s="8" t="str">
        <f aca="false">IF(G14&gt;0,"Converting",IF(F14&gt;=Rules!$B$10,"Waste: 20+ clicks, 0 orders",IF(H14&gt;0,"Waste so far (under 20 clicks)","")))</f>
        <v>Waste: 20+ clicks, 0 orders</v>
      </c>
      <c r="O14" s="8" t="s">
        <v>405</v>
      </c>
    </row>
    <row r="15" customFormat="false" ht="15" hidden="false" customHeight="false" outlineLevel="0" collapsed="false">
      <c r="A15" s="8" t="s">
        <v>155</v>
      </c>
      <c r="B15" s="8" t="s">
        <v>407</v>
      </c>
      <c r="C15" s="9" t="n">
        <v>365</v>
      </c>
      <c r="D15" s="8" t="n">
        <v>55</v>
      </c>
      <c r="E15" s="9" t="n">
        <v>2042</v>
      </c>
      <c r="F15" s="9" t="n">
        <v>35</v>
      </c>
      <c r="G15" s="9" t="n">
        <v>1</v>
      </c>
      <c r="H15" s="7" t="n">
        <v>37.34</v>
      </c>
      <c r="I15" s="7" t="n">
        <v>34.99</v>
      </c>
      <c r="J15" s="7" t="n">
        <f aca="false">IF(F15=0,0,H15/F15)</f>
        <v>1.06685714285714</v>
      </c>
      <c r="K15" s="10" t="n">
        <f aca="false">IF(F15=0,0,G15/F15)</f>
        <v>0.0285714285714286</v>
      </c>
      <c r="L15" s="10" t="n">
        <f aca="false">IF(I15=0,"",H15/I15)</f>
        <v>1.06716204629894</v>
      </c>
      <c r="M15" s="10" t="n">
        <v>0</v>
      </c>
      <c r="N15" s="8" t="str">
        <f aca="false">IF(G15&gt;0,"Converting",IF(F15&gt;=Rules!$B$10,"Waste: 20+ clicks, 0 orders",IF(H15&gt;0,"Waste so far (under 20 clicks)","")))</f>
        <v>Converting</v>
      </c>
      <c r="O15" s="8" t="s">
        <v>404</v>
      </c>
    </row>
    <row r="16" customFormat="false" ht="15" hidden="false" customHeight="false" outlineLevel="0" collapsed="false">
      <c r="A16" s="8" t="s">
        <v>127</v>
      </c>
      <c r="B16" s="8" t="s">
        <v>407</v>
      </c>
      <c r="C16" s="9" t="n">
        <v>591</v>
      </c>
      <c r="D16" s="8" t="n">
        <v>85</v>
      </c>
      <c r="E16" s="9" t="n">
        <v>3706</v>
      </c>
      <c r="F16" s="9" t="n">
        <v>41</v>
      </c>
      <c r="G16" s="9" t="n">
        <v>1</v>
      </c>
      <c r="H16" s="7" t="n">
        <v>35.93</v>
      </c>
      <c r="I16" s="7" t="n">
        <v>26.99</v>
      </c>
      <c r="J16" s="7" t="n">
        <f aca="false">IF(F16=0,0,H16/F16)</f>
        <v>0.876341463414634</v>
      </c>
      <c r="K16" s="10" t="n">
        <f aca="false">IF(F16=0,0,G16/F16)</f>
        <v>0.024390243902439</v>
      </c>
      <c r="L16" s="10" t="n">
        <f aca="false">IF(I16=0,"",H16/I16)</f>
        <v>1.3312337902927</v>
      </c>
      <c r="M16" s="10" t="n">
        <v>0</v>
      </c>
      <c r="N16" s="8" t="str">
        <f aca="false">IF(G16&gt;0,"Converting",IF(F16&gt;=Rules!$B$10,"Waste: 20+ clicks, 0 orders",IF(H16&gt;0,"Waste so far (under 20 clicks)","")))</f>
        <v>Converting</v>
      </c>
      <c r="O16" s="8" t="s">
        <v>404</v>
      </c>
    </row>
    <row r="17" customFormat="false" ht="15" hidden="false" customHeight="false" outlineLevel="0" collapsed="false">
      <c r="A17" s="8" t="s">
        <v>210</v>
      </c>
      <c r="B17" s="8" t="s">
        <v>401</v>
      </c>
      <c r="C17" s="9" t="n">
        <v>1047</v>
      </c>
      <c r="D17" s="8"/>
      <c r="E17" s="9" t="n">
        <v>482</v>
      </c>
      <c r="F17" s="9" t="n">
        <v>18</v>
      </c>
      <c r="G17" s="9" t="n">
        <v>0</v>
      </c>
      <c r="H17" s="7" t="n">
        <v>28.44</v>
      </c>
      <c r="I17" s="7" t="n">
        <v>0</v>
      </c>
      <c r="J17" s="7" t="n">
        <f aca="false">IF(F17=0,0,H17/F17)</f>
        <v>1.58</v>
      </c>
      <c r="K17" s="10" t="n">
        <f aca="false">IF(F17=0,0,G17/F17)</f>
        <v>0</v>
      </c>
      <c r="L17" s="10" t="str">
        <f aca="false">IF(I17=0,"",H17/I17)</f>
        <v/>
      </c>
      <c r="M17" s="10" t="n">
        <v>0</v>
      </c>
      <c r="N17" s="8" t="str">
        <f aca="false">IF(G17&gt;0,"Converting",IF(F17&gt;=Rules!$B$10,"Waste: 20+ clicks, 0 orders",IF(H17&gt;0,"Waste so far (under 20 clicks)","")))</f>
        <v>Waste so far (under 20 clicks)</v>
      </c>
      <c r="O17" s="8" t="s">
        <v>408</v>
      </c>
    </row>
    <row r="18" customFormat="false" ht="15" hidden="false" customHeight="false" outlineLevel="0" collapsed="false">
      <c r="A18" s="8" t="s">
        <v>409</v>
      </c>
      <c r="B18" s="8" t="s">
        <v>401</v>
      </c>
      <c r="C18" s="9" t="n">
        <v>77</v>
      </c>
      <c r="D18" s="8" t="n">
        <v>47</v>
      </c>
      <c r="E18" s="9" t="n">
        <v>6741</v>
      </c>
      <c r="F18" s="9" t="n">
        <v>34</v>
      </c>
      <c r="G18" s="9" t="n">
        <v>0</v>
      </c>
      <c r="H18" s="7" t="n">
        <v>27.7</v>
      </c>
      <c r="I18" s="7" t="n">
        <v>0</v>
      </c>
      <c r="J18" s="7" t="n">
        <f aca="false">IF(F18=0,0,H18/F18)</f>
        <v>0.814705882352941</v>
      </c>
      <c r="K18" s="10" t="n">
        <f aca="false">IF(F18=0,0,G18/F18)</f>
        <v>0</v>
      </c>
      <c r="L18" s="10" t="str">
        <f aca="false">IF(I18=0,"",H18/I18)</f>
        <v/>
      </c>
      <c r="M18" s="10" t="n">
        <v>0.194805194805195</v>
      </c>
      <c r="N18" s="8" t="str">
        <f aca="false">IF(G18&gt;0,"Converting",IF(F18&gt;=Rules!$B$10,"Waste: 20+ clicks, 0 orders",IF(H18&gt;0,"Waste so far (under 20 clicks)","")))</f>
        <v>Waste: 20+ clicks, 0 orders</v>
      </c>
      <c r="O18" s="8" t="s">
        <v>410</v>
      </c>
    </row>
    <row r="19" customFormat="false" ht="15" hidden="false" customHeight="false" outlineLevel="0" collapsed="false">
      <c r="A19" s="8" t="s">
        <v>220</v>
      </c>
      <c r="B19" s="8" t="s">
        <v>407</v>
      </c>
      <c r="C19" s="9" t="n">
        <v>608</v>
      </c>
      <c r="D19" s="8" t="n">
        <v>104</v>
      </c>
      <c r="E19" s="9" t="n">
        <v>3357</v>
      </c>
      <c r="F19" s="9" t="n">
        <v>27</v>
      </c>
      <c r="G19" s="9" t="n">
        <v>0</v>
      </c>
      <c r="H19" s="7" t="n">
        <v>26.58</v>
      </c>
      <c r="I19" s="7" t="n">
        <v>0</v>
      </c>
      <c r="J19" s="7" t="n">
        <f aca="false">IF(F19=0,0,H19/F19)</f>
        <v>0.984444444444444</v>
      </c>
      <c r="K19" s="10" t="n">
        <f aca="false">IF(F19=0,0,G19/F19)</f>
        <v>0</v>
      </c>
      <c r="L19" s="10" t="str">
        <f aca="false">IF(I19=0,"",H19/I19)</f>
        <v/>
      </c>
      <c r="M19" s="10" t="n">
        <v>0</v>
      </c>
      <c r="N19" s="8" t="str">
        <f aca="false">IF(G19&gt;0,"Converting",IF(F19&gt;=Rules!$B$10,"Waste: 20+ clicks, 0 orders",IF(H19&gt;0,"Waste so far (under 20 clicks)","")))</f>
        <v>Waste: 20+ clicks, 0 orders</v>
      </c>
      <c r="O19" s="8" t="s">
        <v>405</v>
      </c>
    </row>
    <row r="20" customFormat="false" ht="15" hidden="false" customHeight="false" outlineLevel="0" collapsed="false">
      <c r="A20" s="8" t="s">
        <v>256</v>
      </c>
      <c r="B20" s="8" t="s">
        <v>403</v>
      </c>
      <c r="C20" s="9" t="n">
        <v>392</v>
      </c>
      <c r="D20" s="8"/>
      <c r="E20" s="9" t="n">
        <v>644</v>
      </c>
      <c r="F20" s="9" t="n">
        <v>19</v>
      </c>
      <c r="G20" s="9" t="n">
        <v>0</v>
      </c>
      <c r="H20" s="7" t="n">
        <v>26.04</v>
      </c>
      <c r="I20" s="7" t="n">
        <v>0</v>
      </c>
      <c r="J20" s="7" t="n">
        <f aca="false">IF(F20=0,0,H20/F20)</f>
        <v>1.37052631578947</v>
      </c>
      <c r="K20" s="10" t="n">
        <f aca="false">IF(F20=0,0,G20/F20)</f>
        <v>0</v>
      </c>
      <c r="L20" s="10" t="str">
        <f aca="false">IF(I20=0,"",H20/I20)</f>
        <v/>
      </c>
      <c r="M20" s="10" t="n">
        <v>0.35594395207209</v>
      </c>
      <c r="N20" s="8" t="str">
        <f aca="false">IF(G20&gt;0,"Converting",IF(F20&gt;=Rules!$B$10,"Waste: 20+ clicks, 0 orders",IF(H20&gt;0,"Waste so far (under 20 clicks)","")))</f>
        <v>Waste so far (under 20 clicks)</v>
      </c>
      <c r="O20" s="8" t="s">
        <v>408</v>
      </c>
    </row>
    <row r="21" customFormat="false" ht="15" hidden="false" customHeight="false" outlineLevel="0" collapsed="false">
      <c r="A21" s="8" t="s">
        <v>207</v>
      </c>
      <c r="B21" s="8" t="s">
        <v>401</v>
      </c>
      <c r="C21" s="9" t="n">
        <v>310</v>
      </c>
      <c r="D21" s="8" t="n">
        <v>136</v>
      </c>
      <c r="E21" s="9" t="n">
        <v>410</v>
      </c>
      <c r="F21" s="9" t="n">
        <v>18</v>
      </c>
      <c r="G21" s="9" t="n">
        <v>0</v>
      </c>
      <c r="H21" s="7" t="n">
        <v>21.49</v>
      </c>
      <c r="I21" s="7" t="n">
        <v>0</v>
      </c>
      <c r="J21" s="7" t="n">
        <f aca="false">IF(F21=0,0,H21/F21)</f>
        <v>1.19388888888889</v>
      </c>
      <c r="K21" s="10" t="n">
        <f aca="false">IF(F21=0,0,G21/F21)</f>
        <v>0</v>
      </c>
      <c r="L21" s="10" t="str">
        <f aca="false">IF(I21=0,"",H21/I21)</f>
        <v/>
      </c>
      <c r="M21" s="10" t="n">
        <v>0</v>
      </c>
      <c r="N21" s="8" t="str">
        <f aca="false">IF(G21&gt;0,"Converting",IF(F21&gt;=Rules!$B$10,"Waste: 20+ clicks, 0 orders",IF(H21&gt;0,"Waste so far (under 20 clicks)","")))</f>
        <v>Waste so far (under 20 clicks)</v>
      </c>
      <c r="O21" s="8" t="s">
        <v>408</v>
      </c>
    </row>
    <row r="22" customFormat="false" ht="15" hidden="false" customHeight="false" outlineLevel="0" collapsed="false">
      <c r="A22" s="8" t="s">
        <v>411</v>
      </c>
      <c r="B22" s="8" t="s">
        <v>401</v>
      </c>
      <c r="C22" s="9" t="n">
        <v>48</v>
      </c>
      <c r="D22" s="8"/>
      <c r="E22" s="9" t="n">
        <v>1095</v>
      </c>
      <c r="F22" s="9" t="n">
        <v>75</v>
      </c>
      <c r="G22" s="9" t="n">
        <v>0</v>
      </c>
      <c r="H22" s="7" t="n">
        <v>19.89</v>
      </c>
      <c r="I22" s="7" t="n">
        <v>0</v>
      </c>
      <c r="J22" s="7" t="n">
        <f aca="false">IF(F22=0,0,H22/F22)</f>
        <v>0.2652</v>
      </c>
      <c r="K22" s="10" t="n">
        <f aca="false">IF(F22=0,0,G22/F22)</f>
        <v>0</v>
      </c>
      <c r="L22" s="10" t="str">
        <f aca="false">IF(I22=0,"",H22/I22)</f>
        <v/>
      </c>
      <c r="M22" s="10" t="n">
        <v>0.911392405063291</v>
      </c>
      <c r="N22" s="8" t="str">
        <f aca="false">IF(G22&gt;0,"Converting",IF(F22&gt;=Rules!$B$10,"Waste: 20+ clicks, 0 orders",IF(H22&gt;0,"Waste so far (under 20 clicks)","")))</f>
        <v>Waste: 20+ clicks, 0 orders</v>
      </c>
      <c r="O22" s="8" t="s">
        <v>408</v>
      </c>
    </row>
    <row r="23" customFormat="false" ht="15" hidden="false" customHeight="false" outlineLevel="0" collapsed="false">
      <c r="A23" s="8" t="s">
        <v>237</v>
      </c>
      <c r="B23" s="8" t="s">
        <v>401</v>
      </c>
      <c r="C23" s="9" t="n">
        <v>380</v>
      </c>
      <c r="D23" s="8"/>
      <c r="E23" s="9" t="n">
        <v>607</v>
      </c>
      <c r="F23" s="9" t="n">
        <v>43</v>
      </c>
      <c r="G23" s="9" t="n">
        <v>0</v>
      </c>
      <c r="H23" s="7" t="n">
        <v>19.66</v>
      </c>
      <c r="I23" s="7" t="n">
        <v>0</v>
      </c>
      <c r="J23" s="7" t="n">
        <f aca="false">IF(F23=0,0,H23/F23)</f>
        <v>0.457209302325581</v>
      </c>
      <c r="K23" s="10" t="n">
        <f aca="false">IF(F23=0,0,G23/F23)</f>
        <v>0</v>
      </c>
      <c r="L23" s="10" t="str">
        <f aca="false">IF(I23=0,"",H23/I23)</f>
        <v/>
      </c>
      <c r="M23" s="10" t="n">
        <v>0.930232558139535</v>
      </c>
      <c r="N23" s="8" t="str">
        <f aca="false">IF(G23&gt;0,"Converting",IF(F23&gt;=Rules!$B$10,"Waste: 20+ clicks, 0 orders",IF(H23&gt;0,"Waste so far (under 20 clicks)","")))</f>
        <v>Waste: 20+ clicks, 0 orders</v>
      </c>
      <c r="O23" s="8" t="s">
        <v>408</v>
      </c>
    </row>
    <row r="24" customFormat="false" ht="15" hidden="false" customHeight="false" outlineLevel="0" collapsed="false">
      <c r="A24" s="8" t="s">
        <v>243</v>
      </c>
      <c r="B24" s="8" t="s">
        <v>412</v>
      </c>
      <c r="C24" s="9"/>
      <c r="D24" s="8"/>
      <c r="E24" s="9" t="n">
        <v>4782</v>
      </c>
      <c r="F24" s="9" t="n">
        <v>33</v>
      </c>
      <c r="G24" s="9" t="n">
        <v>0</v>
      </c>
      <c r="H24" s="7" t="n">
        <v>19.32</v>
      </c>
      <c r="I24" s="7" t="n">
        <v>0</v>
      </c>
      <c r="J24" s="7" t="n">
        <f aca="false">IF(F24=0,0,H24/F24)</f>
        <v>0.585454545454545</v>
      </c>
      <c r="K24" s="10" t="n">
        <f aca="false">IF(F24=0,0,G24/F24)</f>
        <v>0</v>
      </c>
      <c r="L24" s="10" t="str">
        <f aca="false">IF(I24=0,"",H24/I24)</f>
        <v/>
      </c>
      <c r="M24" s="10" t="n">
        <v>0</v>
      </c>
      <c r="N24" s="8" t="str">
        <f aca="false">IF(G24&gt;0,"Converting",IF(F24&gt;=Rules!$B$10,"Waste: 20+ clicks, 0 orders",IF(H24&gt;0,"Waste so far (under 20 clicks)","")))</f>
        <v>Waste: 20+ clicks, 0 orders</v>
      </c>
      <c r="O24" s="8" t="s">
        <v>413</v>
      </c>
    </row>
    <row r="25" customFormat="false" ht="15" hidden="false" customHeight="false" outlineLevel="0" collapsed="false">
      <c r="A25" s="8" t="s">
        <v>214</v>
      </c>
      <c r="B25" s="8" t="s">
        <v>403</v>
      </c>
      <c r="C25" s="9" t="n">
        <v>348</v>
      </c>
      <c r="D25" s="8"/>
      <c r="E25" s="9" t="n">
        <v>472</v>
      </c>
      <c r="F25" s="9" t="n">
        <v>17</v>
      </c>
      <c r="G25" s="9" t="n">
        <v>0</v>
      </c>
      <c r="H25" s="7" t="n">
        <v>18.19</v>
      </c>
      <c r="I25" s="7" t="n">
        <v>0</v>
      </c>
      <c r="J25" s="7" t="n">
        <f aca="false">IF(F25=0,0,H25/F25)</f>
        <v>1.07</v>
      </c>
      <c r="K25" s="10" t="n">
        <f aca="false">IF(F25=0,0,G25/F25)</f>
        <v>0</v>
      </c>
      <c r="L25" s="10" t="str">
        <f aca="false">IF(I25=0,"",H25/I25)</f>
        <v/>
      </c>
      <c r="M25" s="10" t="n">
        <v>0.135110294117647</v>
      </c>
      <c r="N25" s="8" t="str">
        <f aca="false">IF(G25&gt;0,"Converting",IF(F25&gt;=Rules!$B$10,"Waste: 20+ clicks, 0 orders",IF(H25&gt;0,"Waste so far (under 20 clicks)","")))</f>
        <v>Waste so far (under 20 clicks)</v>
      </c>
      <c r="O25" s="8" t="s">
        <v>408</v>
      </c>
    </row>
    <row r="26" customFormat="false" ht="15" hidden="false" customHeight="false" outlineLevel="0" collapsed="false">
      <c r="A26" s="8" t="s">
        <v>414</v>
      </c>
      <c r="B26" s="8" t="s">
        <v>401</v>
      </c>
      <c r="C26" s="9" t="n">
        <v>26</v>
      </c>
      <c r="D26" s="8" t="n">
        <v>38</v>
      </c>
      <c r="E26" s="9" t="n">
        <v>349</v>
      </c>
      <c r="F26" s="9" t="n">
        <v>24</v>
      </c>
      <c r="G26" s="9" t="n">
        <v>1</v>
      </c>
      <c r="H26" s="7" t="n">
        <v>16.95</v>
      </c>
      <c r="I26" s="7" t="n">
        <v>26.99</v>
      </c>
      <c r="J26" s="7" t="n">
        <f aca="false">IF(F26=0,0,H26/F26)</f>
        <v>0.70625</v>
      </c>
      <c r="K26" s="10" t="n">
        <f aca="false">IF(F26=0,0,G26/F26)</f>
        <v>0.0416666666666667</v>
      </c>
      <c r="L26" s="10" t="n">
        <f aca="false">IF(I26=0,"",H26/I26)</f>
        <v>0.628010374212671</v>
      </c>
      <c r="M26" s="10" t="n">
        <v>0.194805194805195</v>
      </c>
      <c r="N26" s="8" t="str">
        <f aca="false">IF(G26&gt;0,"Converting",IF(F26&gt;=Rules!$B$10,"Waste: 20+ clicks, 0 orders",IF(H26&gt;0,"Waste so far (under 20 clicks)","")))</f>
        <v>Converting</v>
      </c>
      <c r="O26" s="8" t="s">
        <v>404</v>
      </c>
    </row>
    <row r="27" customFormat="false" ht="15" hidden="false" customHeight="false" outlineLevel="0" collapsed="false">
      <c r="A27" s="8" t="s">
        <v>183</v>
      </c>
      <c r="B27" s="8" t="s">
        <v>403</v>
      </c>
      <c r="C27" s="9" t="n">
        <v>49</v>
      </c>
      <c r="D27" s="8" t="n">
        <v>140</v>
      </c>
      <c r="E27" s="9" t="n">
        <v>135</v>
      </c>
      <c r="F27" s="9" t="n">
        <v>10</v>
      </c>
      <c r="G27" s="9" t="n">
        <v>0</v>
      </c>
      <c r="H27" s="7" t="n">
        <v>16.17</v>
      </c>
      <c r="I27" s="7" t="n">
        <v>0</v>
      </c>
      <c r="J27" s="7" t="n">
        <f aca="false">IF(F27=0,0,H27/F27)</f>
        <v>1.617</v>
      </c>
      <c r="K27" s="10" t="n">
        <f aca="false">IF(F27=0,0,G27/F27)</f>
        <v>0</v>
      </c>
      <c r="L27" s="10" t="str">
        <f aca="false">IF(I27=0,"",H27/I27)</f>
        <v/>
      </c>
      <c r="M27" s="10" t="n">
        <v>0</v>
      </c>
      <c r="N27" s="8" t="str">
        <f aca="false">IF(G27&gt;0,"Converting",IF(F27&gt;=Rules!$B$10,"Waste: 20+ clicks, 0 orders",IF(H27&gt;0,"Waste so far (under 20 clicks)","")))</f>
        <v>Waste so far (under 20 clicks)</v>
      </c>
      <c r="O27" s="8" t="s">
        <v>405</v>
      </c>
    </row>
    <row r="28" customFormat="false" ht="15" hidden="false" customHeight="false" outlineLevel="0" collapsed="false">
      <c r="A28" s="8" t="s">
        <v>226</v>
      </c>
      <c r="B28" s="8" t="s">
        <v>412</v>
      </c>
      <c r="C28" s="9"/>
      <c r="D28" s="8"/>
      <c r="E28" s="9" t="n">
        <v>2443</v>
      </c>
      <c r="F28" s="9" t="n">
        <v>19</v>
      </c>
      <c r="G28" s="9" t="n">
        <v>0</v>
      </c>
      <c r="H28" s="7" t="n">
        <v>15.58</v>
      </c>
      <c r="I28" s="7" t="n">
        <v>0</v>
      </c>
      <c r="J28" s="7" t="n">
        <f aca="false">IF(F28=0,0,H28/F28)</f>
        <v>0.82</v>
      </c>
      <c r="K28" s="10" t="n">
        <f aca="false">IF(F28=0,0,G28/F28)</f>
        <v>0</v>
      </c>
      <c r="L28" s="10" t="str">
        <f aca="false">IF(I28=0,"",H28/I28)</f>
        <v/>
      </c>
      <c r="M28" s="10" t="n">
        <v>0</v>
      </c>
      <c r="N28" s="8" t="str">
        <f aca="false">IF(G28&gt;0,"Converting",IF(F28&gt;=Rules!$B$10,"Waste: 20+ clicks, 0 orders",IF(H28&gt;0,"Waste so far (under 20 clicks)","")))</f>
        <v>Waste so far (under 20 clicks)</v>
      </c>
      <c r="O28" s="8" t="s">
        <v>413</v>
      </c>
    </row>
    <row r="29" customFormat="false" ht="15" hidden="false" customHeight="false" outlineLevel="0" collapsed="false">
      <c r="A29" s="8" t="s">
        <v>247</v>
      </c>
      <c r="B29" s="8" t="s">
        <v>412</v>
      </c>
      <c r="C29" s="9"/>
      <c r="D29" s="8"/>
      <c r="E29" s="9" t="n">
        <v>2789</v>
      </c>
      <c r="F29" s="9" t="n">
        <v>24</v>
      </c>
      <c r="G29" s="9" t="n">
        <v>0</v>
      </c>
      <c r="H29" s="7" t="n">
        <v>15.31</v>
      </c>
      <c r="I29" s="7" t="n">
        <v>0</v>
      </c>
      <c r="J29" s="7" t="n">
        <f aca="false">IF(F29=0,0,H29/F29)</f>
        <v>0.637916666666667</v>
      </c>
      <c r="K29" s="10" t="n">
        <f aca="false">IF(F29=0,0,G29/F29)</f>
        <v>0</v>
      </c>
      <c r="L29" s="10" t="str">
        <f aca="false">IF(I29=0,"",H29/I29)</f>
        <v/>
      </c>
      <c r="M29" s="10" t="n">
        <v>0</v>
      </c>
      <c r="N29" s="8" t="str">
        <f aca="false">IF(G29&gt;0,"Converting",IF(F29&gt;=Rules!$B$10,"Waste: 20+ clicks, 0 orders",IF(H29&gt;0,"Waste so far (under 20 clicks)","")))</f>
        <v>Waste: 20+ clicks, 0 orders</v>
      </c>
      <c r="O29" s="8" t="s">
        <v>413</v>
      </c>
    </row>
    <row r="30" customFormat="false" ht="15" hidden="false" customHeight="false" outlineLevel="0" collapsed="false">
      <c r="A30" s="8" t="s">
        <v>233</v>
      </c>
      <c r="B30" s="8" t="s">
        <v>403</v>
      </c>
      <c r="C30" s="9" t="n">
        <v>526</v>
      </c>
      <c r="D30" s="8" t="n">
        <v>101</v>
      </c>
      <c r="E30" s="9" t="n">
        <v>581</v>
      </c>
      <c r="F30" s="9" t="n">
        <v>12</v>
      </c>
      <c r="G30" s="9" t="n">
        <v>0</v>
      </c>
      <c r="H30" s="7" t="n">
        <v>12.57</v>
      </c>
      <c r="I30" s="7" t="n">
        <v>0</v>
      </c>
      <c r="J30" s="7" t="n">
        <f aca="false">IF(F30=0,0,H30/F30)</f>
        <v>1.0475</v>
      </c>
      <c r="K30" s="10" t="n">
        <f aca="false">IF(F30=0,0,G30/F30)</f>
        <v>0</v>
      </c>
      <c r="L30" s="10" t="str">
        <f aca="false">IF(I30=0,"",H30/I30)</f>
        <v/>
      </c>
      <c r="M30" s="10" t="n">
        <v>0</v>
      </c>
      <c r="N30" s="8" t="str">
        <f aca="false">IF(G30&gt;0,"Converting",IF(F30&gt;=Rules!$B$10,"Waste: 20+ clicks, 0 orders",IF(H30&gt;0,"Waste so far (under 20 clicks)","")))</f>
        <v>Waste so far (under 20 clicks)</v>
      </c>
      <c r="O30" s="8" t="s">
        <v>408</v>
      </c>
    </row>
    <row r="31" customFormat="false" ht="15" hidden="false" customHeight="false" outlineLevel="0" collapsed="false">
      <c r="A31" s="8" t="s">
        <v>251</v>
      </c>
      <c r="B31" s="8" t="s">
        <v>412</v>
      </c>
      <c r="C31" s="9"/>
      <c r="D31" s="8"/>
      <c r="E31" s="9" t="n">
        <v>3095</v>
      </c>
      <c r="F31" s="9" t="n">
        <v>21</v>
      </c>
      <c r="G31" s="9" t="n">
        <v>0</v>
      </c>
      <c r="H31" s="7" t="n">
        <v>12.39</v>
      </c>
      <c r="I31" s="7" t="n">
        <v>0</v>
      </c>
      <c r="J31" s="7" t="n">
        <f aca="false">IF(F31=0,0,H31/F31)</f>
        <v>0.59</v>
      </c>
      <c r="K31" s="10" t="n">
        <f aca="false">IF(F31=0,0,G31/F31)</f>
        <v>0</v>
      </c>
      <c r="L31" s="10" t="str">
        <f aca="false">IF(I31=0,"",H31/I31)</f>
        <v/>
      </c>
      <c r="M31" s="10" t="n">
        <v>0</v>
      </c>
      <c r="N31" s="8" t="str">
        <f aca="false">IF(G31&gt;0,"Converting",IF(F31&gt;=Rules!$B$10,"Waste: 20+ clicks, 0 orders",IF(H31&gt;0,"Waste so far (under 20 clicks)","")))</f>
        <v>Waste: 20+ clicks, 0 orders</v>
      </c>
      <c r="O31" s="8" t="s">
        <v>413</v>
      </c>
    </row>
    <row r="32" customFormat="false" ht="15" hidden="false" customHeight="false" outlineLevel="0" collapsed="false">
      <c r="A32" s="8" t="s">
        <v>170</v>
      </c>
      <c r="B32" s="8" t="s">
        <v>412</v>
      </c>
      <c r="C32" s="9"/>
      <c r="D32" s="8"/>
      <c r="E32" s="9" t="n">
        <v>3904</v>
      </c>
      <c r="F32" s="9" t="n">
        <v>18</v>
      </c>
      <c r="G32" s="9" t="n">
        <v>0</v>
      </c>
      <c r="H32" s="7" t="n">
        <v>10.62</v>
      </c>
      <c r="I32" s="7" t="n">
        <v>0</v>
      </c>
      <c r="J32" s="7" t="n">
        <f aca="false">IF(F32=0,0,H32/F32)</f>
        <v>0.59</v>
      </c>
      <c r="K32" s="10" t="n">
        <f aca="false">IF(F32=0,0,G32/F32)</f>
        <v>0</v>
      </c>
      <c r="L32" s="10" t="str">
        <f aca="false">IF(I32=0,"",H32/I32)</f>
        <v/>
      </c>
      <c r="M32" s="10" t="n">
        <v>0</v>
      </c>
      <c r="N32" s="8" t="str">
        <f aca="false">IF(G32&gt;0,"Converting",IF(F32&gt;=Rules!$B$10,"Waste: 20+ clicks, 0 orders",IF(H32&gt;0,"Waste so far (under 20 clicks)","")))</f>
        <v>Waste so far (under 20 clicks)</v>
      </c>
      <c r="O32" s="8" t="s">
        <v>413</v>
      </c>
    </row>
    <row r="33" customFormat="false" ht="15" hidden="false" customHeight="false" outlineLevel="0" collapsed="false">
      <c r="A33" s="8" t="s">
        <v>362</v>
      </c>
      <c r="B33" s="8" t="s">
        <v>403</v>
      </c>
      <c r="C33" s="9" t="n">
        <v>555</v>
      </c>
      <c r="D33" s="8" t="n">
        <v>80</v>
      </c>
      <c r="E33" s="9" t="n">
        <v>212</v>
      </c>
      <c r="F33" s="9" t="n">
        <v>11</v>
      </c>
      <c r="G33" s="9" t="n">
        <v>2</v>
      </c>
      <c r="H33" s="7" t="n">
        <v>10.44</v>
      </c>
      <c r="I33" s="7" t="n">
        <v>53.98</v>
      </c>
      <c r="J33" s="7" t="n">
        <f aca="false">IF(F33=0,0,H33/F33)</f>
        <v>0.949090909090909</v>
      </c>
      <c r="K33" s="10" t="n">
        <f aca="false">IF(F33=0,0,G33/F33)</f>
        <v>0.181818181818182</v>
      </c>
      <c r="L33" s="10" t="n">
        <f aca="false">IF(I33=0,"",H33/I33)</f>
        <v>0.193404964801778</v>
      </c>
      <c r="M33" s="10" t="n">
        <v>0</v>
      </c>
      <c r="N33" s="8" t="str">
        <f aca="false">IF(G33&gt;0,"Converting",IF(F33&gt;=Rules!$B$10,"Waste: 20+ clicks, 0 orders",IF(H33&gt;0,"Waste so far (under 20 clicks)","")))</f>
        <v>Converting</v>
      </c>
      <c r="O33" s="8" t="s">
        <v>404</v>
      </c>
    </row>
    <row r="34" customFormat="false" ht="15" hidden="false" customHeight="false" outlineLevel="0" collapsed="false">
      <c r="A34" s="8" t="s">
        <v>179</v>
      </c>
      <c r="B34" s="8" t="s">
        <v>403</v>
      </c>
      <c r="C34" s="9" t="n">
        <v>249</v>
      </c>
      <c r="D34" s="8" t="n">
        <v>76</v>
      </c>
      <c r="E34" s="9" t="n">
        <v>457</v>
      </c>
      <c r="F34" s="9" t="n">
        <v>18</v>
      </c>
      <c r="G34" s="9" t="n">
        <v>1</v>
      </c>
      <c r="H34" s="7" t="n">
        <v>10.25</v>
      </c>
      <c r="I34" s="7" t="n">
        <v>34.99</v>
      </c>
      <c r="J34" s="7" t="n">
        <f aca="false">IF(F34=0,0,H34/F34)</f>
        <v>0.569444444444444</v>
      </c>
      <c r="K34" s="10" t="n">
        <f aca="false">IF(F34=0,0,G34/F34)</f>
        <v>0.0555555555555556</v>
      </c>
      <c r="L34" s="10" t="n">
        <f aca="false">IF(I34=0,"",H34/I34)</f>
        <v>0.292940840240069</v>
      </c>
      <c r="M34" s="10" t="n">
        <v>0.315789473684211</v>
      </c>
      <c r="N34" s="8" t="str">
        <f aca="false">IF(G34&gt;0,"Converting",IF(F34&gt;=Rules!$B$10,"Waste: 20+ clicks, 0 orders",IF(H34&gt;0,"Waste so far (under 20 clicks)","")))</f>
        <v>Converting</v>
      </c>
      <c r="O34" s="8" t="s">
        <v>404</v>
      </c>
    </row>
    <row r="35" customFormat="false" ht="15" hidden="false" customHeight="false" outlineLevel="0" collapsed="false">
      <c r="A35" s="8" t="s">
        <v>253</v>
      </c>
      <c r="B35" s="8" t="s">
        <v>401</v>
      </c>
      <c r="C35" s="9" t="n">
        <v>48</v>
      </c>
      <c r="D35" s="8" t="n">
        <v>43</v>
      </c>
      <c r="E35" s="9" t="n">
        <v>299</v>
      </c>
      <c r="F35" s="9" t="n">
        <v>7</v>
      </c>
      <c r="G35" s="9" t="n">
        <v>0</v>
      </c>
      <c r="H35" s="7" t="n">
        <v>9.28</v>
      </c>
      <c r="I35" s="7" t="n">
        <v>0</v>
      </c>
      <c r="J35" s="7" t="n">
        <f aca="false">IF(F35=0,0,H35/F35)</f>
        <v>1.32571428571429</v>
      </c>
      <c r="K35" s="10" t="n">
        <f aca="false">IF(F35=0,0,G35/F35)</f>
        <v>0</v>
      </c>
      <c r="L35" s="10" t="str">
        <f aca="false">IF(I35=0,"",H35/I35)</f>
        <v/>
      </c>
      <c r="M35" s="10" t="n">
        <v>0</v>
      </c>
      <c r="N35" s="8" t="str">
        <f aca="false">IF(G35&gt;0,"Converting",IF(F35&gt;=Rules!$B$10,"Waste: 20+ clicks, 0 orders",IF(H35&gt;0,"Waste so far (under 20 clicks)","")))</f>
        <v>Waste so far (under 20 clicks)</v>
      </c>
      <c r="O35" s="8" t="s">
        <v>408</v>
      </c>
    </row>
    <row r="36" customFormat="false" ht="15" hidden="false" customHeight="false" outlineLevel="0" collapsed="false">
      <c r="A36" s="8" t="s">
        <v>415</v>
      </c>
      <c r="B36" s="8" t="s">
        <v>403</v>
      </c>
      <c r="C36" s="9" t="n">
        <v>81</v>
      </c>
      <c r="D36" s="8"/>
      <c r="E36" s="9" t="n">
        <v>106</v>
      </c>
      <c r="F36" s="9" t="n">
        <v>9</v>
      </c>
      <c r="G36" s="9" t="n">
        <v>1</v>
      </c>
      <c r="H36" s="7" t="n">
        <v>8.92</v>
      </c>
      <c r="I36" s="7" t="n">
        <v>34.99</v>
      </c>
      <c r="J36" s="7" t="n">
        <f aca="false">IF(F36=0,0,H36/F36)</f>
        <v>0.991111111111111</v>
      </c>
      <c r="K36" s="10" t="n">
        <f aca="false">IF(F36=0,0,G36/F36)</f>
        <v>0.111111111111111</v>
      </c>
      <c r="L36" s="10" t="n">
        <f aca="false">IF(I36=0,"",H36/I36)</f>
        <v>0.254929979994284</v>
      </c>
      <c r="M36" s="10" t="n">
        <v>0</v>
      </c>
      <c r="N36" s="8" t="str">
        <f aca="false">IF(G36&gt;0,"Converting",IF(F36&gt;=Rules!$B$10,"Waste: 20+ clicks, 0 orders",IF(H36&gt;0,"Waste so far (under 20 clicks)","")))</f>
        <v>Converting</v>
      </c>
      <c r="O36" s="8" t="s">
        <v>404</v>
      </c>
    </row>
    <row r="37" customFormat="false" ht="15" hidden="false" customHeight="false" outlineLevel="0" collapsed="false">
      <c r="A37" s="8" t="s">
        <v>416</v>
      </c>
      <c r="B37" s="8" t="s">
        <v>403</v>
      </c>
      <c r="C37" s="9" t="n">
        <v>10</v>
      </c>
      <c r="D37" s="8" t="n">
        <v>32</v>
      </c>
      <c r="E37" s="9" t="n">
        <v>503</v>
      </c>
      <c r="F37" s="9" t="n">
        <v>12</v>
      </c>
      <c r="G37" s="9" t="n">
        <v>0</v>
      </c>
      <c r="H37" s="7" t="n">
        <v>8.48</v>
      </c>
      <c r="I37" s="7" t="n">
        <v>0</v>
      </c>
      <c r="J37" s="7" t="n">
        <f aca="false">IF(F37=0,0,H37/F37)</f>
        <v>0.706666666666667</v>
      </c>
      <c r="K37" s="10" t="n">
        <f aca="false">IF(F37=0,0,G37/F37)</f>
        <v>0</v>
      </c>
      <c r="L37" s="10" t="str">
        <f aca="false">IF(I37=0,"",H37/I37)</f>
        <v/>
      </c>
      <c r="M37" s="10" t="n">
        <v>0.966133584195673</v>
      </c>
      <c r="N37" s="8" t="str">
        <f aca="false">IF(G37&gt;0,"Converting",IF(F37&gt;=Rules!$B$10,"Waste: 20+ clicks, 0 orders",IF(H37&gt;0,"Waste so far (under 20 clicks)","")))</f>
        <v>Waste so far (under 20 clicks)</v>
      </c>
      <c r="O37" s="8" t="s">
        <v>410</v>
      </c>
    </row>
    <row r="38" customFormat="false" ht="15" hidden="false" customHeight="false" outlineLevel="0" collapsed="false">
      <c r="A38" s="8" t="s">
        <v>417</v>
      </c>
      <c r="B38" s="8" t="s">
        <v>403</v>
      </c>
      <c r="C38" s="9" t="n">
        <v>22</v>
      </c>
      <c r="D38" s="8"/>
      <c r="E38" s="9" t="n">
        <v>1058</v>
      </c>
      <c r="F38" s="9" t="n">
        <v>11</v>
      </c>
      <c r="G38" s="9" t="n">
        <v>0</v>
      </c>
      <c r="H38" s="7" t="n">
        <v>8.47</v>
      </c>
      <c r="I38" s="7" t="n">
        <v>0</v>
      </c>
      <c r="J38" s="7" t="n">
        <f aca="false">IF(F38=0,0,H38/F38)</f>
        <v>0.77</v>
      </c>
      <c r="K38" s="10" t="n">
        <f aca="false">IF(F38=0,0,G38/F38)</f>
        <v>0</v>
      </c>
      <c r="L38" s="10" t="str">
        <f aca="false">IF(I38=0,"",H38/I38)</f>
        <v/>
      </c>
      <c r="M38" s="10" t="n">
        <v>0.194805194805195</v>
      </c>
      <c r="N38" s="8" t="str">
        <f aca="false">IF(G38&gt;0,"Converting",IF(F38&gt;=Rules!$B$10,"Waste: 20+ clicks, 0 orders",IF(H38&gt;0,"Waste so far (under 20 clicks)","")))</f>
        <v>Waste so far (under 20 clicks)</v>
      </c>
      <c r="O38" s="8" t="s">
        <v>408</v>
      </c>
    </row>
    <row r="39" customFormat="false" ht="15" hidden="false" customHeight="false" outlineLevel="0" collapsed="false">
      <c r="A39" s="8" t="s">
        <v>265</v>
      </c>
      <c r="B39" s="8" t="s">
        <v>412</v>
      </c>
      <c r="C39" s="9"/>
      <c r="D39" s="8"/>
      <c r="E39" s="9" t="n">
        <v>777</v>
      </c>
      <c r="F39" s="9" t="n">
        <v>13</v>
      </c>
      <c r="G39" s="9" t="n">
        <v>0</v>
      </c>
      <c r="H39" s="7" t="n">
        <v>8.41</v>
      </c>
      <c r="I39" s="7" t="n">
        <v>0</v>
      </c>
      <c r="J39" s="7" t="n">
        <f aca="false">IF(F39=0,0,H39/F39)</f>
        <v>0.646923076923077</v>
      </c>
      <c r="K39" s="10" t="n">
        <f aca="false">IF(F39=0,0,G39/F39)</f>
        <v>0</v>
      </c>
      <c r="L39" s="10" t="str">
        <f aca="false">IF(I39=0,"",H39/I39)</f>
        <v/>
      </c>
      <c r="M39" s="10" t="n">
        <v>0</v>
      </c>
      <c r="N39" s="8" t="str">
        <f aca="false">IF(G39&gt;0,"Converting",IF(F39&gt;=Rules!$B$10,"Waste: 20+ clicks, 0 orders",IF(H39&gt;0,"Waste so far (under 20 clicks)","")))</f>
        <v>Waste so far (under 20 clicks)</v>
      </c>
      <c r="O39" s="8" t="s">
        <v>413</v>
      </c>
    </row>
    <row r="40" customFormat="false" ht="15" hidden="false" customHeight="false" outlineLevel="0" collapsed="false">
      <c r="A40" s="8" t="s">
        <v>418</v>
      </c>
      <c r="B40" s="8" t="s">
        <v>401</v>
      </c>
      <c r="C40" s="9" t="n">
        <v>64</v>
      </c>
      <c r="D40" s="8"/>
      <c r="E40" s="9" t="n">
        <v>21</v>
      </c>
      <c r="F40" s="9" t="n">
        <v>5</v>
      </c>
      <c r="G40" s="9" t="n">
        <v>0</v>
      </c>
      <c r="H40" s="7" t="n">
        <v>8.25</v>
      </c>
      <c r="I40" s="7" t="n">
        <v>0</v>
      </c>
      <c r="J40" s="7" t="n">
        <f aca="false">IF(F40=0,0,H40/F40)</f>
        <v>1.65</v>
      </c>
      <c r="K40" s="10" t="n">
        <f aca="false">IF(F40=0,0,G40/F40)</f>
        <v>0</v>
      </c>
      <c r="L40" s="10" t="str">
        <f aca="false">IF(I40=0,"",H40/I40)</f>
        <v/>
      </c>
      <c r="M40" s="10" t="n">
        <v>0</v>
      </c>
      <c r="N40" s="8" t="str">
        <f aca="false">IF(G40&gt;0,"Converting",IF(F40&gt;=Rules!$B$10,"Waste: 20+ clicks, 0 orders",IF(H40&gt;0,"Waste so far (under 20 clicks)","")))</f>
        <v>Waste so far (under 20 clicks)</v>
      </c>
      <c r="O40" s="8" t="s">
        <v>408</v>
      </c>
    </row>
    <row r="41" customFormat="false" ht="15" hidden="false" customHeight="false" outlineLevel="0" collapsed="false">
      <c r="A41" s="8" t="s">
        <v>159</v>
      </c>
      <c r="B41" s="8" t="s">
        <v>401</v>
      </c>
      <c r="C41" s="9" t="n">
        <v>33</v>
      </c>
      <c r="D41" s="8" t="n">
        <v>39</v>
      </c>
      <c r="E41" s="9" t="n">
        <v>22</v>
      </c>
      <c r="F41" s="9" t="n">
        <v>5</v>
      </c>
      <c r="G41" s="9" t="n">
        <v>1</v>
      </c>
      <c r="H41" s="7" t="n">
        <v>8.13</v>
      </c>
      <c r="I41" s="7" t="n">
        <v>34.99</v>
      </c>
      <c r="J41" s="7" t="n">
        <f aca="false">IF(F41=0,0,H41/F41)</f>
        <v>1.626</v>
      </c>
      <c r="K41" s="10" t="n">
        <f aca="false">IF(F41=0,0,G41/F41)</f>
        <v>0.2</v>
      </c>
      <c r="L41" s="10" t="n">
        <f aca="false">IF(I41=0,"",H41/I41)</f>
        <v>0.232352100600171</v>
      </c>
      <c r="M41" s="10" t="n">
        <v>0</v>
      </c>
      <c r="N41" s="8" t="str">
        <f aca="false">IF(G41&gt;0,"Converting",IF(F41&gt;=Rules!$B$10,"Waste: 20+ clicks, 0 orders",IF(H41&gt;0,"Waste so far (under 20 clicks)","")))</f>
        <v>Converting</v>
      </c>
      <c r="O41" s="8" t="s">
        <v>404</v>
      </c>
    </row>
    <row r="42" customFormat="false" ht="15" hidden="false" customHeight="false" outlineLevel="0" collapsed="false">
      <c r="A42" s="8" t="s">
        <v>419</v>
      </c>
      <c r="B42" s="8" t="s">
        <v>401</v>
      </c>
      <c r="C42" s="9" t="n">
        <v>28</v>
      </c>
      <c r="D42" s="8"/>
      <c r="E42" s="9" t="n">
        <v>106</v>
      </c>
      <c r="F42" s="9" t="n">
        <v>6</v>
      </c>
      <c r="G42" s="9" t="n">
        <v>0</v>
      </c>
      <c r="H42" s="7" t="n">
        <v>7.6</v>
      </c>
      <c r="I42" s="7" t="n">
        <v>0</v>
      </c>
      <c r="J42" s="7" t="n">
        <f aca="false">IF(F42=0,0,H42/F42)</f>
        <v>1.26666666666667</v>
      </c>
      <c r="K42" s="10" t="n">
        <f aca="false">IF(F42=0,0,G42/F42)</f>
        <v>0</v>
      </c>
      <c r="L42" s="10" t="str">
        <f aca="false">IF(I42=0,"",H42/I42)</f>
        <v/>
      </c>
      <c r="M42" s="10" t="n">
        <v>0</v>
      </c>
      <c r="N42" s="8" t="str">
        <f aca="false">IF(G42&gt;0,"Converting",IF(F42&gt;=Rules!$B$10,"Waste: 20+ clicks, 0 orders",IF(H42&gt;0,"Waste so far (under 20 clicks)","")))</f>
        <v>Waste so far (under 20 clicks)</v>
      </c>
      <c r="O42" s="8" t="s">
        <v>408</v>
      </c>
    </row>
    <row r="43" customFormat="false" ht="15" hidden="false" customHeight="false" outlineLevel="0" collapsed="false">
      <c r="A43" s="8" t="s">
        <v>420</v>
      </c>
      <c r="B43" s="8" t="s">
        <v>403</v>
      </c>
      <c r="C43" s="9" t="n">
        <v>27</v>
      </c>
      <c r="D43" s="8"/>
      <c r="E43" s="9" t="n">
        <v>218</v>
      </c>
      <c r="F43" s="9" t="n">
        <v>7</v>
      </c>
      <c r="G43" s="9" t="n">
        <v>0</v>
      </c>
      <c r="H43" s="7" t="n">
        <v>7.34</v>
      </c>
      <c r="I43" s="7" t="n">
        <v>0</v>
      </c>
      <c r="J43" s="7" t="n">
        <f aca="false">IF(F43=0,0,H43/F43)</f>
        <v>1.04857142857143</v>
      </c>
      <c r="K43" s="10" t="n">
        <f aca="false">IF(F43=0,0,G43/F43)</f>
        <v>0</v>
      </c>
      <c r="L43" s="10" t="str">
        <f aca="false">IF(I43=0,"",H43/I43)</f>
        <v/>
      </c>
      <c r="M43" s="10" t="n">
        <v>0.315789473684211</v>
      </c>
      <c r="N43" s="8" t="str">
        <f aca="false">IF(G43&gt;0,"Converting",IF(F43&gt;=Rules!$B$10,"Waste: 20+ clicks, 0 orders",IF(H43&gt;0,"Waste so far (under 20 clicks)","")))</f>
        <v>Waste so far (under 20 clicks)</v>
      </c>
      <c r="O43" s="8" t="s">
        <v>405</v>
      </c>
    </row>
    <row r="44" customFormat="false" ht="15" hidden="false" customHeight="false" outlineLevel="0" collapsed="false">
      <c r="A44" s="8" t="s">
        <v>421</v>
      </c>
      <c r="B44" s="8" t="s">
        <v>401</v>
      </c>
      <c r="C44" s="9" t="n">
        <v>99</v>
      </c>
      <c r="D44" s="8"/>
      <c r="E44" s="9" t="n">
        <v>209</v>
      </c>
      <c r="F44" s="9" t="n">
        <v>8</v>
      </c>
      <c r="G44" s="9" t="n">
        <v>0</v>
      </c>
      <c r="H44" s="7" t="n">
        <v>7.26</v>
      </c>
      <c r="I44" s="7" t="n">
        <v>0</v>
      </c>
      <c r="J44" s="7" t="n">
        <f aca="false">IF(F44=0,0,H44/F44)</f>
        <v>0.9075</v>
      </c>
      <c r="K44" s="10" t="n">
        <f aca="false">IF(F44=0,0,G44/F44)</f>
        <v>0</v>
      </c>
      <c r="L44" s="10" t="str">
        <f aca="false">IF(I44=0,"",H44/I44)</f>
        <v/>
      </c>
      <c r="M44" s="10" t="n">
        <v>0.095703125</v>
      </c>
      <c r="N44" s="8" t="str">
        <f aca="false">IF(G44&gt;0,"Converting",IF(F44&gt;=Rules!$B$10,"Waste: 20+ clicks, 0 orders",IF(H44&gt;0,"Waste so far (under 20 clicks)","")))</f>
        <v>Waste so far (under 20 clicks)</v>
      </c>
      <c r="O44" s="8" t="s">
        <v>408</v>
      </c>
    </row>
    <row r="45" customFormat="false" ht="15" hidden="false" customHeight="false" outlineLevel="0" collapsed="false">
      <c r="A45" s="8" t="s">
        <v>261</v>
      </c>
      <c r="B45" s="8" t="s">
        <v>412</v>
      </c>
      <c r="C45" s="9"/>
      <c r="D45" s="8"/>
      <c r="E45" s="9" t="n">
        <v>1012</v>
      </c>
      <c r="F45" s="9" t="n">
        <v>12</v>
      </c>
      <c r="G45" s="9" t="n">
        <v>0</v>
      </c>
      <c r="H45" s="7" t="n">
        <v>7.08</v>
      </c>
      <c r="I45" s="7" t="n">
        <v>0</v>
      </c>
      <c r="J45" s="7" t="n">
        <f aca="false">IF(F45=0,0,H45/F45)</f>
        <v>0.59</v>
      </c>
      <c r="K45" s="10" t="n">
        <f aca="false">IF(F45=0,0,G45/F45)</f>
        <v>0</v>
      </c>
      <c r="L45" s="10" t="str">
        <f aca="false">IF(I45=0,"",H45/I45)</f>
        <v/>
      </c>
      <c r="M45" s="10" t="n">
        <v>0</v>
      </c>
      <c r="N45" s="8" t="str">
        <f aca="false">IF(G45&gt;0,"Converting",IF(F45&gt;=Rules!$B$10,"Waste: 20+ clicks, 0 orders",IF(H45&gt;0,"Waste so far (under 20 clicks)","")))</f>
        <v>Waste so far (under 20 clicks)</v>
      </c>
      <c r="O45" s="8" t="s">
        <v>413</v>
      </c>
    </row>
    <row r="46" customFormat="false" ht="15" hidden="false" customHeight="false" outlineLevel="0" collapsed="false">
      <c r="A46" s="8" t="s">
        <v>174</v>
      </c>
      <c r="B46" s="8" t="s">
        <v>403</v>
      </c>
      <c r="C46" s="9" t="n">
        <v>122</v>
      </c>
      <c r="D46" s="8" t="n">
        <v>11</v>
      </c>
      <c r="E46" s="9" t="n">
        <v>66</v>
      </c>
      <c r="F46" s="9" t="n">
        <v>5</v>
      </c>
      <c r="G46" s="9" t="n">
        <v>0</v>
      </c>
      <c r="H46" s="7" t="n">
        <v>6.86</v>
      </c>
      <c r="I46" s="7" t="n">
        <v>0</v>
      </c>
      <c r="J46" s="7" t="n">
        <f aca="false">IF(F46=0,0,H46/F46)</f>
        <v>1.372</v>
      </c>
      <c r="K46" s="10" t="n">
        <f aca="false">IF(F46=0,0,G46/F46)</f>
        <v>0</v>
      </c>
      <c r="L46" s="10" t="str">
        <f aca="false">IF(I46=0,"",H46/I46)</f>
        <v/>
      </c>
      <c r="M46" s="10" t="n">
        <v>0.194805194805195</v>
      </c>
      <c r="N46" s="8" t="str">
        <f aca="false">IF(G46&gt;0,"Converting",IF(F46&gt;=Rules!$B$10,"Waste: 20+ clicks, 0 orders",IF(H46&gt;0,"Waste so far (under 20 clicks)","")))</f>
        <v>Waste so far (under 20 clicks)</v>
      </c>
      <c r="O46" s="8" t="s">
        <v>408</v>
      </c>
    </row>
    <row r="47" customFormat="false" ht="15" hidden="false" customHeight="false" outlineLevel="0" collapsed="false">
      <c r="A47" s="8" t="s">
        <v>422</v>
      </c>
      <c r="B47" s="8" t="s">
        <v>401</v>
      </c>
      <c r="C47" s="9" t="n">
        <v>192912</v>
      </c>
      <c r="D47" s="8"/>
      <c r="E47" s="9" t="n">
        <v>21</v>
      </c>
      <c r="F47" s="9" t="n">
        <v>3</v>
      </c>
      <c r="G47" s="9" t="n">
        <v>0</v>
      </c>
      <c r="H47" s="7" t="n">
        <v>6.84</v>
      </c>
      <c r="I47" s="7" t="n">
        <v>0</v>
      </c>
      <c r="J47" s="7" t="n">
        <f aca="false">IF(F47=0,0,H47/F47)</f>
        <v>2.28</v>
      </c>
      <c r="K47" s="10" t="n">
        <f aca="false">IF(F47=0,0,G47/F47)</f>
        <v>0</v>
      </c>
      <c r="L47" s="10" t="str">
        <f aca="false">IF(I47=0,"",H47/I47)</f>
        <v/>
      </c>
      <c r="M47" s="10" t="n">
        <v>0</v>
      </c>
      <c r="N47" s="8" t="str">
        <f aca="false">IF(G47&gt;0,"Converting",IF(F47&gt;=Rules!$B$10,"Waste: 20+ clicks, 0 orders",IF(H47&gt;0,"Waste so far (under 20 clicks)","")))</f>
        <v>Waste so far (under 20 clicks)</v>
      </c>
      <c r="O47" s="8" t="s">
        <v>423</v>
      </c>
    </row>
    <row r="48" customFormat="false" ht="15" hidden="false" customHeight="false" outlineLevel="0" collapsed="false">
      <c r="A48" s="8" t="s">
        <v>424</v>
      </c>
      <c r="B48" s="8" t="s">
        <v>407</v>
      </c>
      <c r="C48" s="9" t="n">
        <v>965</v>
      </c>
      <c r="D48" s="8" t="n">
        <v>105</v>
      </c>
      <c r="E48" s="9" t="n">
        <v>929</v>
      </c>
      <c r="F48" s="9" t="n">
        <v>8</v>
      </c>
      <c r="G48" s="9" t="n">
        <v>1</v>
      </c>
      <c r="H48" s="7" t="n">
        <v>6.46</v>
      </c>
      <c r="I48" s="7" t="n">
        <v>26.99</v>
      </c>
      <c r="J48" s="7" t="n">
        <f aca="false">IF(F48=0,0,H48/F48)</f>
        <v>0.8075</v>
      </c>
      <c r="K48" s="10" t="n">
        <f aca="false">IF(F48=0,0,G48/F48)</f>
        <v>0.125</v>
      </c>
      <c r="L48" s="10" t="n">
        <f aca="false">IF(I48=0,"",H48/I48)</f>
        <v>0.239347906632086</v>
      </c>
      <c r="M48" s="10" t="n">
        <v>0</v>
      </c>
      <c r="N48" s="8" t="str">
        <f aca="false">IF(G48&gt;0,"Converting",IF(F48&gt;=Rules!$B$10,"Waste: 20+ clicks, 0 orders",IF(H48&gt;0,"Waste so far (under 20 clicks)","")))</f>
        <v>Converting</v>
      </c>
      <c r="O48" s="8" t="s">
        <v>404</v>
      </c>
    </row>
    <row r="49" customFormat="false" ht="15" hidden="false" customHeight="false" outlineLevel="0" collapsed="false">
      <c r="A49" s="8" t="s">
        <v>197</v>
      </c>
      <c r="B49" s="8" t="s">
        <v>403</v>
      </c>
      <c r="C49" s="9" t="n">
        <v>342</v>
      </c>
      <c r="D49" s="8" t="n">
        <v>109</v>
      </c>
      <c r="E49" s="9" t="n">
        <v>33</v>
      </c>
      <c r="F49" s="9" t="n">
        <v>5</v>
      </c>
      <c r="G49" s="9" t="n">
        <v>0</v>
      </c>
      <c r="H49" s="7" t="n">
        <v>6.34</v>
      </c>
      <c r="I49" s="7" t="n">
        <v>0</v>
      </c>
      <c r="J49" s="7" t="n">
        <f aca="false">IF(F49=0,0,H49/F49)</f>
        <v>1.268</v>
      </c>
      <c r="K49" s="10" t="n">
        <f aca="false">IF(F49=0,0,G49/F49)</f>
        <v>0</v>
      </c>
      <c r="L49" s="10" t="str">
        <f aca="false">IF(I49=0,"",H49/I49)</f>
        <v/>
      </c>
      <c r="M49" s="10" t="n">
        <v>0</v>
      </c>
      <c r="N49" s="8" t="str">
        <f aca="false">IF(G49&gt;0,"Converting",IF(F49&gt;=Rules!$B$10,"Waste: 20+ clicks, 0 orders",IF(H49&gt;0,"Waste so far (under 20 clicks)","")))</f>
        <v>Waste so far (under 20 clicks)</v>
      </c>
      <c r="O49" s="8" t="s">
        <v>405</v>
      </c>
    </row>
    <row r="50" customFormat="false" ht="15" hidden="false" customHeight="false" outlineLevel="0" collapsed="false">
      <c r="A50" s="8" t="s">
        <v>425</v>
      </c>
      <c r="B50" s="8" t="s">
        <v>403</v>
      </c>
      <c r="C50" s="9" t="n">
        <v>4188</v>
      </c>
      <c r="D50" s="8"/>
      <c r="E50" s="9" t="n">
        <v>17</v>
      </c>
      <c r="F50" s="9" t="n">
        <v>3</v>
      </c>
      <c r="G50" s="9" t="n">
        <v>0</v>
      </c>
      <c r="H50" s="7" t="n">
        <v>5.73</v>
      </c>
      <c r="I50" s="7" t="n">
        <v>0</v>
      </c>
      <c r="J50" s="7" t="n">
        <f aca="false">IF(F50=0,0,H50/F50)</f>
        <v>1.91</v>
      </c>
      <c r="K50" s="10" t="n">
        <f aca="false">IF(F50=0,0,G50/F50)</f>
        <v>0</v>
      </c>
      <c r="L50" s="10" t="str">
        <f aca="false">IF(I50=0,"",H50/I50)</f>
        <v/>
      </c>
      <c r="M50" s="10" t="n">
        <v>0</v>
      </c>
      <c r="N50" s="8" t="str">
        <f aca="false">IF(G50&gt;0,"Converting",IF(F50&gt;=Rules!$B$10,"Waste: 20+ clicks, 0 orders",IF(H50&gt;0,"Waste so far (under 20 clicks)","")))</f>
        <v>Waste so far (under 20 clicks)</v>
      </c>
      <c r="O50" s="8" t="s">
        <v>408</v>
      </c>
    </row>
    <row r="51" customFormat="false" ht="15" hidden="false" customHeight="false" outlineLevel="0" collapsed="false">
      <c r="A51" s="8" t="s">
        <v>267</v>
      </c>
      <c r="B51" s="8" t="s">
        <v>401</v>
      </c>
      <c r="C51" s="9" t="n">
        <v>386</v>
      </c>
      <c r="D51" s="8" t="n">
        <v>106</v>
      </c>
      <c r="E51" s="9" t="n">
        <v>27</v>
      </c>
      <c r="F51" s="9" t="n">
        <v>4</v>
      </c>
      <c r="G51" s="9" t="n">
        <v>0</v>
      </c>
      <c r="H51" s="7" t="n">
        <v>5.42</v>
      </c>
      <c r="I51" s="7" t="n">
        <v>0</v>
      </c>
      <c r="J51" s="7" t="n">
        <f aca="false">IF(F51=0,0,H51/F51)</f>
        <v>1.355</v>
      </c>
      <c r="K51" s="10" t="n">
        <f aca="false">IF(F51=0,0,G51/F51)</f>
        <v>0</v>
      </c>
      <c r="L51" s="10" t="str">
        <f aca="false">IF(I51=0,"",H51/I51)</f>
        <v/>
      </c>
      <c r="M51" s="10" t="n">
        <v>0</v>
      </c>
      <c r="N51" s="8" t="str">
        <f aca="false">IF(G51&gt;0,"Converting",IF(F51&gt;=Rules!$B$10,"Waste: 20+ clicks, 0 orders",IF(H51&gt;0,"Waste so far (under 20 clicks)","")))</f>
        <v>Waste so far (under 20 clicks)</v>
      </c>
      <c r="O51" s="8" t="s">
        <v>405</v>
      </c>
    </row>
    <row r="52" customFormat="false" ht="15" hidden="false" customHeight="false" outlineLevel="0" collapsed="false">
      <c r="A52" s="8" t="s">
        <v>273</v>
      </c>
      <c r="B52" s="8" t="s">
        <v>412</v>
      </c>
      <c r="C52" s="9"/>
      <c r="D52" s="8"/>
      <c r="E52" s="9" t="n">
        <v>416</v>
      </c>
      <c r="F52" s="9" t="n">
        <v>9</v>
      </c>
      <c r="G52" s="9" t="n">
        <v>0</v>
      </c>
      <c r="H52" s="7" t="n">
        <v>5.04</v>
      </c>
      <c r="I52" s="7" t="n">
        <v>0</v>
      </c>
      <c r="J52" s="7" t="n">
        <f aca="false">IF(F52=0,0,H52/F52)</f>
        <v>0.56</v>
      </c>
      <c r="K52" s="10" t="n">
        <f aca="false">IF(F52=0,0,G52/F52)</f>
        <v>0</v>
      </c>
      <c r="L52" s="10" t="str">
        <f aca="false">IF(I52=0,"",H52/I52)</f>
        <v/>
      </c>
      <c r="M52" s="10" t="n">
        <v>0</v>
      </c>
      <c r="N52" s="8" t="str">
        <f aca="false">IF(G52&gt;0,"Converting",IF(F52&gt;=Rules!$B$10,"Waste: 20+ clicks, 0 orders",IF(H52&gt;0,"Waste so far (under 20 clicks)","")))</f>
        <v>Waste so far (under 20 clicks)</v>
      </c>
      <c r="O52" s="8" t="s">
        <v>413</v>
      </c>
    </row>
    <row r="53" customFormat="false" ht="15" hidden="false" customHeight="false" outlineLevel="0" collapsed="false">
      <c r="A53" s="8" t="s">
        <v>426</v>
      </c>
      <c r="B53" s="8" t="s">
        <v>403</v>
      </c>
      <c r="C53" s="9" t="n">
        <v>240</v>
      </c>
      <c r="D53" s="8" t="n">
        <v>117</v>
      </c>
      <c r="E53" s="9" t="n">
        <v>18</v>
      </c>
      <c r="F53" s="9" t="n">
        <v>3</v>
      </c>
      <c r="G53" s="9" t="n">
        <v>0</v>
      </c>
      <c r="H53" s="7" t="n">
        <v>5.01</v>
      </c>
      <c r="I53" s="7" t="n">
        <v>0</v>
      </c>
      <c r="J53" s="7" t="n">
        <f aca="false">IF(F53=0,0,H53/F53)</f>
        <v>1.67</v>
      </c>
      <c r="K53" s="10" t="n">
        <f aca="false">IF(F53=0,0,G53/F53)</f>
        <v>0</v>
      </c>
      <c r="L53" s="10" t="str">
        <f aca="false">IF(I53=0,"",H53/I53)</f>
        <v/>
      </c>
      <c r="M53" s="10" t="n">
        <v>0.210526315789474</v>
      </c>
      <c r="N53" s="8" t="str">
        <f aca="false">IF(G53&gt;0,"Converting",IF(F53&gt;=Rules!$B$10,"Waste: 20+ clicks, 0 orders",IF(H53&gt;0,"Waste so far (under 20 clicks)","")))</f>
        <v>Waste so far (under 20 clicks)</v>
      </c>
      <c r="O53" s="8" t="s">
        <v>405</v>
      </c>
    </row>
    <row r="54" customFormat="false" ht="15" hidden="false" customHeight="false" outlineLevel="0" collapsed="false">
      <c r="A54" s="8" t="s">
        <v>427</v>
      </c>
      <c r="B54" s="8" t="s">
        <v>401</v>
      </c>
      <c r="C54" s="9" t="n">
        <v>42</v>
      </c>
      <c r="D54" s="8"/>
      <c r="E54" s="9" t="n">
        <v>22</v>
      </c>
      <c r="F54" s="9" t="n">
        <v>5</v>
      </c>
      <c r="G54" s="9" t="n">
        <v>0</v>
      </c>
      <c r="H54" s="7" t="n">
        <v>4.96</v>
      </c>
      <c r="I54" s="7" t="n">
        <v>0</v>
      </c>
      <c r="J54" s="7" t="n">
        <f aca="false">IF(F54=0,0,H54/F54)</f>
        <v>0.992</v>
      </c>
      <c r="K54" s="10" t="n">
        <f aca="false">IF(F54=0,0,G54/F54)</f>
        <v>0</v>
      </c>
      <c r="L54" s="10" t="str">
        <f aca="false">IF(I54=0,"",H54/I54)</f>
        <v/>
      </c>
      <c r="M54" s="10" t="n">
        <v>0.315789473684211</v>
      </c>
      <c r="N54" s="8" t="str">
        <f aca="false">IF(G54&gt;0,"Converting",IF(F54&gt;=Rules!$B$10,"Waste: 20+ clicks, 0 orders",IF(H54&gt;0,"Waste so far (under 20 clicks)","")))</f>
        <v>Waste so far (under 20 clicks)</v>
      </c>
      <c r="O54" s="8" t="s">
        <v>405</v>
      </c>
    </row>
    <row r="55" customFormat="false" ht="15" hidden="false" customHeight="false" outlineLevel="0" collapsed="false">
      <c r="A55" s="8" t="s">
        <v>428</v>
      </c>
      <c r="B55" s="8" t="s">
        <v>407</v>
      </c>
      <c r="C55" s="9" t="n">
        <v>636</v>
      </c>
      <c r="D55" s="8" t="n">
        <v>111</v>
      </c>
      <c r="E55" s="9" t="n">
        <v>25</v>
      </c>
      <c r="F55" s="9" t="n">
        <v>3</v>
      </c>
      <c r="G55" s="9" t="n">
        <v>0</v>
      </c>
      <c r="H55" s="7" t="n">
        <v>4.75</v>
      </c>
      <c r="I55" s="7" t="n">
        <v>0</v>
      </c>
      <c r="J55" s="7" t="n">
        <f aca="false">IF(F55=0,0,H55/F55)</f>
        <v>1.58333333333333</v>
      </c>
      <c r="K55" s="10" t="n">
        <f aca="false">IF(F55=0,0,G55/F55)</f>
        <v>0</v>
      </c>
      <c r="L55" s="10" t="str">
        <f aca="false">IF(I55=0,"",H55/I55)</f>
        <v/>
      </c>
      <c r="M55" s="10" t="n">
        <v>0</v>
      </c>
      <c r="N55" s="8" t="str">
        <f aca="false">IF(G55&gt;0,"Converting",IF(F55&gt;=Rules!$B$10,"Waste: 20+ clicks, 0 orders",IF(H55&gt;0,"Waste so far (under 20 clicks)","")))</f>
        <v>Waste so far (under 20 clicks)</v>
      </c>
      <c r="O55" s="8" t="s">
        <v>405</v>
      </c>
    </row>
    <row r="56" customFormat="false" ht="15" hidden="false" customHeight="false" outlineLevel="0" collapsed="false">
      <c r="A56" s="8" t="s">
        <v>429</v>
      </c>
      <c r="B56" s="8" t="s">
        <v>401</v>
      </c>
      <c r="C56" s="9" t="n">
        <v>3293</v>
      </c>
      <c r="D56" s="8"/>
      <c r="E56" s="9" t="n">
        <v>65</v>
      </c>
      <c r="F56" s="9" t="n">
        <v>2</v>
      </c>
      <c r="G56" s="9" t="n">
        <v>0</v>
      </c>
      <c r="H56" s="7" t="n">
        <v>4.72</v>
      </c>
      <c r="I56" s="7" t="n">
        <v>0</v>
      </c>
      <c r="J56" s="7" t="n">
        <f aca="false">IF(F56=0,0,H56/F56)</f>
        <v>2.36</v>
      </c>
      <c r="K56" s="10" t="n">
        <f aca="false">IF(F56=0,0,G56/F56)</f>
        <v>0</v>
      </c>
      <c r="L56" s="10" t="str">
        <f aca="false">IF(I56=0,"",H56/I56)</f>
        <v/>
      </c>
      <c r="M56" s="10" t="n">
        <v>0</v>
      </c>
      <c r="N56" s="8" t="str">
        <f aca="false">IF(G56&gt;0,"Converting",IF(F56&gt;=Rules!$B$10,"Waste: 20+ clicks, 0 orders",IF(H56&gt;0,"Waste so far (under 20 clicks)","")))</f>
        <v>Waste so far (under 20 clicks)</v>
      </c>
      <c r="O56" s="8" t="s">
        <v>408</v>
      </c>
    </row>
    <row r="57" customFormat="false" ht="15" hidden="false" customHeight="false" outlineLevel="0" collapsed="false">
      <c r="A57" s="8" t="s">
        <v>430</v>
      </c>
      <c r="B57" s="8" t="s">
        <v>401</v>
      </c>
      <c r="C57" s="9" t="n">
        <v>1748</v>
      </c>
      <c r="D57" s="8"/>
      <c r="E57" s="9" t="n">
        <v>26</v>
      </c>
      <c r="F57" s="9" t="n">
        <v>2</v>
      </c>
      <c r="G57" s="9" t="n">
        <v>0</v>
      </c>
      <c r="H57" s="7" t="n">
        <v>4.72</v>
      </c>
      <c r="I57" s="7" t="n">
        <v>0</v>
      </c>
      <c r="J57" s="7" t="n">
        <f aca="false">IF(F57=0,0,H57/F57)</f>
        <v>2.36</v>
      </c>
      <c r="K57" s="10" t="n">
        <f aca="false">IF(F57=0,0,G57/F57)</f>
        <v>0</v>
      </c>
      <c r="L57" s="10" t="str">
        <f aca="false">IF(I57=0,"",H57/I57)</f>
        <v/>
      </c>
      <c r="M57" s="10" t="n">
        <v>0</v>
      </c>
      <c r="N57" s="8" t="str">
        <f aca="false">IF(G57&gt;0,"Converting",IF(F57&gt;=Rules!$B$10,"Waste: 20+ clicks, 0 orders",IF(H57&gt;0,"Waste so far (under 20 clicks)","")))</f>
        <v>Waste so far (under 20 clicks)</v>
      </c>
      <c r="O57" s="8" t="s">
        <v>408</v>
      </c>
    </row>
    <row r="58" customFormat="false" ht="15" hidden="false" customHeight="false" outlineLevel="0" collapsed="false">
      <c r="A58" s="8" t="s">
        <v>275</v>
      </c>
      <c r="B58" s="8" t="s">
        <v>401</v>
      </c>
      <c r="C58" s="9" t="n">
        <v>644</v>
      </c>
      <c r="D58" s="8"/>
      <c r="E58" s="9" t="n">
        <v>3</v>
      </c>
      <c r="F58" s="9" t="n">
        <v>1</v>
      </c>
      <c r="G58" s="9" t="n">
        <v>0</v>
      </c>
      <c r="H58" s="7" t="n">
        <v>4.68</v>
      </c>
      <c r="I58" s="7" t="n">
        <v>0</v>
      </c>
      <c r="J58" s="7" t="n">
        <f aca="false">IF(F58=0,0,H58/F58)</f>
        <v>4.68</v>
      </c>
      <c r="K58" s="10" t="n">
        <f aca="false">IF(F58=0,0,G58/F58)</f>
        <v>0</v>
      </c>
      <c r="L58" s="10" t="str">
        <f aca="false">IF(I58=0,"",H58/I58)</f>
        <v/>
      </c>
      <c r="M58" s="10" t="n">
        <v>0</v>
      </c>
      <c r="N58" s="8" t="str">
        <f aca="false">IF(G58&gt;0,"Converting",IF(F58&gt;=Rules!$B$10,"Waste: 20+ clicks, 0 orders",IF(H58&gt;0,"Waste so far (under 20 clicks)","")))</f>
        <v>Waste so far (under 20 clicks)</v>
      </c>
      <c r="O58" s="8" t="s">
        <v>408</v>
      </c>
    </row>
    <row r="59" customFormat="false" ht="15" hidden="false" customHeight="false" outlineLevel="0" collapsed="false">
      <c r="A59" s="8" t="s">
        <v>431</v>
      </c>
      <c r="B59" s="8" t="s">
        <v>403</v>
      </c>
      <c r="C59" s="9" t="n">
        <v>31</v>
      </c>
      <c r="D59" s="8"/>
      <c r="E59" s="9" t="n">
        <v>2</v>
      </c>
      <c r="F59" s="9" t="n">
        <v>1</v>
      </c>
      <c r="G59" s="9" t="n">
        <v>0</v>
      </c>
      <c r="H59" s="7" t="n">
        <v>4.47</v>
      </c>
      <c r="I59" s="7" t="n">
        <v>0</v>
      </c>
      <c r="J59" s="7" t="n">
        <f aca="false">IF(F59=0,0,H59/F59)</f>
        <v>4.47</v>
      </c>
      <c r="K59" s="10" t="n">
        <f aca="false">IF(F59=0,0,G59/F59)</f>
        <v>0</v>
      </c>
      <c r="L59" s="10" t="str">
        <f aca="false">IF(I59=0,"",H59/I59)</f>
        <v/>
      </c>
      <c r="M59" s="10" t="n">
        <v>0</v>
      </c>
      <c r="N59" s="8" t="str">
        <f aca="false">IF(G59&gt;0,"Converting",IF(F59&gt;=Rules!$B$10,"Waste: 20+ clicks, 0 orders",IF(H59&gt;0,"Waste so far (under 20 clicks)","")))</f>
        <v>Waste so far (under 20 clicks)</v>
      </c>
      <c r="O59" s="8" t="s">
        <v>408</v>
      </c>
    </row>
    <row r="60" customFormat="false" ht="15" hidden="false" customHeight="false" outlineLevel="0" collapsed="false">
      <c r="A60" s="8" t="s">
        <v>432</v>
      </c>
      <c r="B60" s="8" t="s">
        <v>401</v>
      </c>
      <c r="C60" s="9" t="n">
        <v>367</v>
      </c>
      <c r="D60" s="8"/>
      <c r="E60" s="9" t="n">
        <v>42</v>
      </c>
      <c r="F60" s="9" t="n">
        <v>2</v>
      </c>
      <c r="G60" s="9" t="n">
        <v>0</v>
      </c>
      <c r="H60" s="7" t="n">
        <v>4.34</v>
      </c>
      <c r="I60" s="7" t="n">
        <v>0</v>
      </c>
      <c r="J60" s="7" t="n">
        <f aca="false">IF(F60=0,0,H60/F60)</f>
        <v>2.17</v>
      </c>
      <c r="K60" s="10" t="n">
        <f aca="false">IF(F60=0,0,G60/F60)</f>
        <v>0</v>
      </c>
      <c r="L60" s="10" t="str">
        <f aca="false">IF(I60=0,"",H60/I60)</f>
        <v/>
      </c>
      <c r="M60" s="10" t="n">
        <v>0</v>
      </c>
      <c r="N60" s="8" t="str">
        <f aca="false">IF(G60&gt;0,"Converting",IF(F60&gt;=Rules!$B$10,"Waste: 20+ clicks, 0 orders",IF(H60&gt;0,"Waste so far (under 20 clicks)","")))</f>
        <v>Waste so far (under 20 clicks)</v>
      </c>
      <c r="O60" s="8" t="s">
        <v>405</v>
      </c>
    </row>
    <row r="61" customFormat="false" ht="15" hidden="false" customHeight="false" outlineLevel="0" collapsed="false">
      <c r="A61" s="8" t="s">
        <v>433</v>
      </c>
      <c r="B61" s="8" t="s">
        <v>401</v>
      </c>
      <c r="C61" s="9" t="n">
        <v>21</v>
      </c>
      <c r="D61" s="8"/>
      <c r="E61" s="9" t="n">
        <v>19</v>
      </c>
      <c r="F61" s="9" t="n">
        <v>4</v>
      </c>
      <c r="G61" s="9" t="n">
        <v>0</v>
      </c>
      <c r="H61" s="7" t="n">
        <v>4.18</v>
      </c>
      <c r="I61" s="7" t="n">
        <v>0</v>
      </c>
      <c r="J61" s="7" t="n">
        <f aca="false">IF(F61=0,0,H61/F61)</f>
        <v>1.045</v>
      </c>
      <c r="K61" s="10" t="n">
        <f aca="false">IF(F61=0,0,G61/F61)</f>
        <v>0</v>
      </c>
      <c r="L61" s="10" t="str">
        <f aca="false">IF(I61=0,"",H61/I61)</f>
        <v/>
      </c>
      <c r="M61" s="10" t="n">
        <v>0.911392405063291</v>
      </c>
      <c r="N61" s="8" t="str">
        <f aca="false">IF(G61&gt;0,"Converting",IF(F61&gt;=Rules!$B$10,"Waste: 20+ clicks, 0 orders",IF(H61&gt;0,"Waste so far (under 20 clicks)","")))</f>
        <v>Waste so far (under 20 clicks)</v>
      </c>
      <c r="O61" s="8" t="s">
        <v>408</v>
      </c>
    </row>
    <row r="62" customFormat="false" ht="15" hidden="false" customHeight="false" outlineLevel="0" collapsed="false">
      <c r="A62" s="8" t="s">
        <v>434</v>
      </c>
      <c r="B62" s="8" t="s">
        <v>401</v>
      </c>
      <c r="C62" s="9" t="n">
        <v>15764</v>
      </c>
      <c r="D62" s="8"/>
      <c r="E62" s="9" t="n">
        <v>49</v>
      </c>
      <c r="F62" s="9" t="n">
        <v>2</v>
      </c>
      <c r="G62" s="9" t="n">
        <v>0</v>
      </c>
      <c r="H62" s="7" t="n">
        <v>4.05</v>
      </c>
      <c r="I62" s="7" t="n">
        <v>0</v>
      </c>
      <c r="J62" s="7" t="n">
        <f aca="false">IF(F62=0,0,H62/F62)</f>
        <v>2.025</v>
      </c>
      <c r="K62" s="10" t="n">
        <f aca="false">IF(F62=0,0,G62/F62)</f>
        <v>0</v>
      </c>
      <c r="L62" s="10" t="str">
        <f aca="false">IF(I62=0,"",H62/I62)</f>
        <v/>
      </c>
      <c r="M62" s="10" t="n">
        <v>0</v>
      </c>
      <c r="N62" s="8" t="str">
        <f aca="false">IF(G62&gt;0,"Converting",IF(F62&gt;=Rules!$B$10,"Waste: 20+ clicks, 0 orders",IF(H62&gt;0,"Waste so far (under 20 clicks)","")))</f>
        <v>Waste so far (under 20 clicks)</v>
      </c>
      <c r="O62" s="8" t="s">
        <v>408</v>
      </c>
    </row>
    <row r="63" customFormat="false" ht="15" hidden="false" customHeight="false" outlineLevel="0" collapsed="false">
      <c r="A63" s="8" t="s">
        <v>435</v>
      </c>
      <c r="B63" s="8" t="s">
        <v>401</v>
      </c>
      <c r="C63" s="9" t="n">
        <v>12</v>
      </c>
      <c r="D63" s="8"/>
      <c r="E63" s="9" t="n">
        <v>4</v>
      </c>
      <c r="F63" s="9" t="n">
        <v>2</v>
      </c>
      <c r="G63" s="9" t="n">
        <v>0</v>
      </c>
      <c r="H63" s="7" t="n">
        <v>3.54</v>
      </c>
      <c r="I63" s="7" t="n">
        <v>0</v>
      </c>
      <c r="J63" s="7" t="n">
        <f aca="false">IF(F63=0,0,H63/F63)</f>
        <v>1.77</v>
      </c>
      <c r="K63" s="10" t="n">
        <f aca="false">IF(F63=0,0,G63/F63)</f>
        <v>0</v>
      </c>
      <c r="L63" s="10" t="str">
        <f aca="false">IF(I63=0,"",H63/I63)</f>
        <v/>
      </c>
      <c r="M63" s="10" t="n">
        <v>0</v>
      </c>
      <c r="N63" s="8" t="str">
        <f aca="false">IF(G63&gt;0,"Converting",IF(F63&gt;=Rules!$B$10,"Waste: 20+ clicks, 0 orders",IF(H63&gt;0,"Waste so far (under 20 clicks)","")))</f>
        <v>Waste so far (under 20 clicks)</v>
      </c>
      <c r="O63" s="8" t="s">
        <v>405</v>
      </c>
    </row>
    <row r="64" customFormat="false" ht="15" hidden="false" customHeight="false" outlineLevel="0" collapsed="false">
      <c r="A64" s="8" t="s">
        <v>436</v>
      </c>
      <c r="B64" s="8" t="s">
        <v>401</v>
      </c>
      <c r="C64" s="9" t="n">
        <v>18</v>
      </c>
      <c r="D64" s="8"/>
      <c r="E64" s="9" t="n">
        <v>7</v>
      </c>
      <c r="F64" s="9" t="n">
        <v>2</v>
      </c>
      <c r="G64" s="9" t="n">
        <v>0</v>
      </c>
      <c r="H64" s="7" t="n">
        <v>3.37</v>
      </c>
      <c r="I64" s="7" t="n">
        <v>0</v>
      </c>
      <c r="J64" s="7" t="n">
        <f aca="false">IF(F64=0,0,H64/F64)</f>
        <v>1.685</v>
      </c>
      <c r="K64" s="10" t="n">
        <f aca="false">IF(F64=0,0,G64/F64)</f>
        <v>0</v>
      </c>
      <c r="L64" s="10" t="str">
        <f aca="false">IF(I64=0,"",H64/I64)</f>
        <v/>
      </c>
      <c r="M64" s="10" t="n">
        <v>0</v>
      </c>
      <c r="N64" s="8" t="str">
        <f aca="false">IF(G64&gt;0,"Converting",IF(F64&gt;=Rules!$B$10,"Waste: 20+ clicks, 0 orders",IF(H64&gt;0,"Waste so far (under 20 clicks)","")))</f>
        <v>Waste so far (under 20 clicks)</v>
      </c>
      <c r="O64" s="8" t="s">
        <v>408</v>
      </c>
    </row>
    <row r="65" customFormat="false" ht="15" hidden="false" customHeight="false" outlineLevel="0" collapsed="false">
      <c r="A65" s="8" t="s">
        <v>437</v>
      </c>
      <c r="B65" s="8" t="s">
        <v>403</v>
      </c>
      <c r="C65" s="9" t="n">
        <v>63</v>
      </c>
      <c r="D65" s="8" t="n">
        <v>89</v>
      </c>
      <c r="E65" s="9" t="n">
        <v>6</v>
      </c>
      <c r="F65" s="9" t="n">
        <v>2</v>
      </c>
      <c r="G65" s="9" t="n">
        <v>0</v>
      </c>
      <c r="H65" s="7" t="n">
        <v>2.41</v>
      </c>
      <c r="I65" s="7" t="n">
        <v>0</v>
      </c>
      <c r="J65" s="7" t="n">
        <f aca="false">IF(F65=0,0,H65/F65)</f>
        <v>1.205</v>
      </c>
      <c r="K65" s="10" t="n">
        <f aca="false">IF(F65=0,0,G65/F65)</f>
        <v>0</v>
      </c>
      <c r="L65" s="10" t="str">
        <f aca="false">IF(I65=0,"",H65/I65)</f>
        <v/>
      </c>
      <c r="M65" s="10" t="n">
        <v>0.315789473684211</v>
      </c>
      <c r="N65" s="8" t="str">
        <f aca="false">IF(G65&gt;0,"Converting",IF(F65&gt;=Rules!$B$10,"Waste: 20+ clicks, 0 orders",IF(H65&gt;0,"Waste so far (under 20 clicks)","")))</f>
        <v>Waste so far (under 20 clicks)</v>
      </c>
      <c r="O65" s="8" t="s">
        <v>405</v>
      </c>
    </row>
    <row r="66" customFormat="false" ht="15" hidden="false" customHeight="false" outlineLevel="0" collapsed="false">
      <c r="A66" s="8" t="s">
        <v>438</v>
      </c>
      <c r="B66" s="8" t="s">
        <v>403</v>
      </c>
      <c r="C66" s="9" t="n">
        <v>1486</v>
      </c>
      <c r="D66" s="8"/>
      <c r="E66" s="9" t="n">
        <v>12</v>
      </c>
      <c r="F66" s="9" t="n">
        <v>1</v>
      </c>
      <c r="G66" s="9" t="n">
        <v>0</v>
      </c>
      <c r="H66" s="7" t="n">
        <v>2.36</v>
      </c>
      <c r="I66" s="7" t="n">
        <v>0</v>
      </c>
      <c r="J66" s="7" t="n">
        <f aca="false">IF(F66=0,0,H66/F66)</f>
        <v>2.36</v>
      </c>
      <c r="K66" s="10" t="n">
        <f aca="false">IF(F66=0,0,G66/F66)</f>
        <v>0</v>
      </c>
      <c r="L66" s="10" t="str">
        <f aca="false">IF(I66=0,"",H66/I66)</f>
        <v/>
      </c>
      <c r="M66" s="10" t="n">
        <v>0</v>
      </c>
      <c r="N66" s="8" t="str">
        <f aca="false">IF(G66&gt;0,"Converting",IF(F66&gt;=Rules!$B$10,"Waste: 20+ clicks, 0 orders",IF(H66&gt;0,"Waste so far (under 20 clicks)","")))</f>
        <v>Waste so far (under 20 clicks)</v>
      </c>
      <c r="O66" s="8" t="s">
        <v>410</v>
      </c>
    </row>
    <row r="67" customFormat="false" ht="15" hidden="false" customHeight="false" outlineLevel="0" collapsed="false">
      <c r="A67" s="8" t="s">
        <v>281</v>
      </c>
      <c r="B67" s="8" t="s">
        <v>412</v>
      </c>
      <c r="C67" s="9"/>
      <c r="D67" s="8"/>
      <c r="E67" s="9" t="n">
        <v>169</v>
      </c>
      <c r="F67" s="9" t="n">
        <v>4</v>
      </c>
      <c r="G67" s="9" t="n">
        <v>0</v>
      </c>
      <c r="H67" s="7" t="n">
        <v>2.36</v>
      </c>
      <c r="I67" s="7" t="n">
        <v>0</v>
      </c>
      <c r="J67" s="7" t="n">
        <f aca="false">IF(F67=0,0,H67/F67)</f>
        <v>0.59</v>
      </c>
      <c r="K67" s="10" t="n">
        <f aca="false">IF(F67=0,0,G67/F67)</f>
        <v>0</v>
      </c>
      <c r="L67" s="10" t="str">
        <f aca="false">IF(I67=0,"",H67/I67)</f>
        <v/>
      </c>
      <c r="M67" s="10" t="n">
        <v>0</v>
      </c>
      <c r="N67" s="8" t="str">
        <f aca="false">IF(G67&gt;0,"Converting",IF(F67&gt;=Rules!$B$10,"Waste: 20+ clicks, 0 orders",IF(H67&gt;0,"Waste so far (under 20 clicks)","")))</f>
        <v>Waste so far (under 20 clicks)</v>
      </c>
      <c r="O67" s="8" t="s">
        <v>413</v>
      </c>
    </row>
    <row r="68" customFormat="false" ht="15" hidden="false" customHeight="false" outlineLevel="0" collapsed="false">
      <c r="A68" s="8" t="s">
        <v>439</v>
      </c>
      <c r="B68" s="8" t="s">
        <v>403</v>
      </c>
      <c r="C68" s="9" t="n">
        <v>644</v>
      </c>
      <c r="D68" s="8"/>
      <c r="E68" s="9" t="n">
        <v>5</v>
      </c>
      <c r="F68" s="9" t="n">
        <v>1</v>
      </c>
      <c r="G68" s="9" t="n">
        <v>0</v>
      </c>
      <c r="H68" s="7" t="n">
        <v>2.36</v>
      </c>
      <c r="I68" s="7" t="n">
        <v>0</v>
      </c>
      <c r="J68" s="7" t="n">
        <f aca="false">IF(F68=0,0,H68/F68)</f>
        <v>2.36</v>
      </c>
      <c r="K68" s="10" t="n">
        <f aca="false">IF(F68=0,0,G68/F68)</f>
        <v>0</v>
      </c>
      <c r="L68" s="10" t="str">
        <f aca="false">IF(I68=0,"",H68/I68)</f>
        <v/>
      </c>
      <c r="M68" s="10" t="n">
        <v>0</v>
      </c>
      <c r="N68" s="8" t="str">
        <f aca="false">IF(G68&gt;0,"Converting",IF(F68&gt;=Rules!$B$10,"Waste: 20+ clicks, 0 orders",IF(H68&gt;0,"Waste so far (under 20 clicks)","")))</f>
        <v>Waste so far (under 20 clicks)</v>
      </c>
      <c r="O68" s="8" t="s">
        <v>408</v>
      </c>
    </row>
    <row r="69" customFormat="false" ht="15" hidden="false" customHeight="false" outlineLevel="0" collapsed="false">
      <c r="A69" s="8" t="s">
        <v>440</v>
      </c>
      <c r="B69" s="8" t="s">
        <v>403</v>
      </c>
      <c r="C69" s="9" t="n">
        <v>776</v>
      </c>
      <c r="D69" s="8"/>
      <c r="E69" s="9" t="n">
        <v>3</v>
      </c>
      <c r="F69" s="9" t="n">
        <v>1</v>
      </c>
      <c r="G69" s="9" t="n">
        <v>0</v>
      </c>
      <c r="H69" s="7" t="n">
        <v>2.36</v>
      </c>
      <c r="I69" s="7" t="n">
        <v>0</v>
      </c>
      <c r="J69" s="7" t="n">
        <f aca="false">IF(F69=0,0,H69/F69)</f>
        <v>2.36</v>
      </c>
      <c r="K69" s="10" t="n">
        <f aca="false">IF(F69=0,0,G69/F69)</f>
        <v>0</v>
      </c>
      <c r="L69" s="10" t="str">
        <f aca="false">IF(I69=0,"",H69/I69)</f>
        <v/>
      </c>
      <c r="M69" s="10" t="n">
        <v>0</v>
      </c>
      <c r="N69" s="8" t="str">
        <f aca="false">IF(G69&gt;0,"Converting",IF(F69&gt;=Rules!$B$10,"Waste: 20+ clicks, 0 orders",IF(H69&gt;0,"Waste so far (under 20 clicks)","")))</f>
        <v>Waste so far (under 20 clicks)</v>
      </c>
      <c r="O69" s="8" t="s">
        <v>410</v>
      </c>
    </row>
    <row r="70" customFormat="false" ht="15" hidden="false" customHeight="false" outlineLevel="0" collapsed="false">
      <c r="A70" s="8" t="s">
        <v>441</v>
      </c>
      <c r="B70" s="8" t="s">
        <v>401</v>
      </c>
      <c r="C70" s="9" t="n">
        <v>2386</v>
      </c>
      <c r="D70" s="8"/>
      <c r="E70" s="9" t="n">
        <v>11</v>
      </c>
      <c r="F70" s="9" t="n">
        <v>1</v>
      </c>
      <c r="G70" s="9" t="n">
        <v>0</v>
      </c>
      <c r="H70" s="7" t="n">
        <v>2.36</v>
      </c>
      <c r="I70" s="7" t="n">
        <v>0</v>
      </c>
      <c r="J70" s="7" t="n">
        <f aca="false">IF(F70=0,0,H70/F70)</f>
        <v>2.36</v>
      </c>
      <c r="K70" s="10" t="n">
        <f aca="false">IF(F70=0,0,G70/F70)</f>
        <v>0</v>
      </c>
      <c r="L70" s="10" t="str">
        <f aca="false">IF(I70=0,"",H70/I70)</f>
        <v/>
      </c>
      <c r="M70" s="10" t="n">
        <v>0</v>
      </c>
      <c r="N70" s="8" t="str">
        <f aca="false">IF(G70&gt;0,"Converting",IF(F70&gt;=Rules!$B$10,"Waste: 20+ clicks, 0 orders",IF(H70&gt;0,"Waste so far (under 20 clicks)","")))</f>
        <v>Waste so far (under 20 clicks)</v>
      </c>
      <c r="O70" s="8" t="s">
        <v>423</v>
      </c>
    </row>
    <row r="71" customFormat="false" ht="15" hidden="false" customHeight="false" outlineLevel="0" collapsed="false">
      <c r="A71" s="8" t="s">
        <v>442</v>
      </c>
      <c r="B71" s="8" t="s">
        <v>401</v>
      </c>
      <c r="C71" s="9"/>
      <c r="D71" s="8"/>
      <c r="E71" s="9" t="n">
        <v>5</v>
      </c>
      <c r="F71" s="9" t="n">
        <v>1</v>
      </c>
      <c r="G71" s="9" t="n">
        <v>0</v>
      </c>
      <c r="H71" s="7" t="n">
        <v>2.36</v>
      </c>
      <c r="I71" s="7" t="n">
        <v>0</v>
      </c>
      <c r="J71" s="7" t="n">
        <f aca="false">IF(F71=0,0,H71/F71)</f>
        <v>2.36</v>
      </c>
      <c r="K71" s="10" t="n">
        <f aca="false">IF(F71=0,0,G71/F71)</f>
        <v>0</v>
      </c>
      <c r="L71" s="10" t="str">
        <f aca="false">IF(I71=0,"",H71/I71)</f>
        <v/>
      </c>
      <c r="M71" s="10" t="n">
        <v>0</v>
      </c>
      <c r="N71" s="8" t="str">
        <f aca="false">IF(G71&gt;0,"Converting",IF(F71&gt;=Rules!$B$10,"Waste: 20+ clicks, 0 orders",IF(H71&gt;0,"Waste so far (under 20 clicks)","")))</f>
        <v>Waste so far (under 20 clicks)</v>
      </c>
      <c r="O71" s="8" t="s">
        <v>408</v>
      </c>
    </row>
    <row r="72" customFormat="false" ht="15" hidden="false" customHeight="false" outlineLevel="0" collapsed="false">
      <c r="A72" s="8" t="s">
        <v>443</v>
      </c>
      <c r="B72" s="8" t="s">
        <v>401</v>
      </c>
      <c r="C72" s="9" t="n">
        <v>4740</v>
      </c>
      <c r="D72" s="8"/>
      <c r="E72" s="9" t="n">
        <v>6</v>
      </c>
      <c r="F72" s="9" t="n">
        <v>1</v>
      </c>
      <c r="G72" s="9" t="n">
        <v>0</v>
      </c>
      <c r="H72" s="7" t="n">
        <v>2.36</v>
      </c>
      <c r="I72" s="7" t="n">
        <v>0</v>
      </c>
      <c r="J72" s="7" t="n">
        <f aca="false">IF(F72=0,0,H72/F72)</f>
        <v>2.36</v>
      </c>
      <c r="K72" s="10" t="n">
        <f aca="false">IF(F72=0,0,G72/F72)</f>
        <v>0</v>
      </c>
      <c r="L72" s="10" t="str">
        <f aca="false">IF(I72=0,"",H72/I72)</f>
        <v/>
      </c>
      <c r="M72" s="10" t="n">
        <v>0</v>
      </c>
      <c r="N72" s="8" t="str">
        <f aca="false">IF(G72&gt;0,"Converting",IF(F72&gt;=Rules!$B$10,"Waste: 20+ clicks, 0 orders",IF(H72&gt;0,"Waste so far (under 20 clicks)","")))</f>
        <v>Waste so far (under 20 clicks)</v>
      </c>
      <c r="O72" s="8" t="s">
        <v>408</v>
      </c>
    </row>
    <row r="73" customFormat="false" ht="15" hidden="false" customHeight="false" outlineLevel="0" collapsed="false">
      <c r="A73" s="8" t="s">
        <v>444</v>
      </c>
      <c r="B73" s="8" t="s">
        <v>401</v>
      </c>
      <c r="C73" s="9" t="n">
        <v>593</v>
      </c>
      <c r="D73" s="8"/>
      <c r="E73" s="9" t="n">
        <v>16</v>
      </c>
      <c r="F73" s="9" t="n">
        <v>1</v>
      </c>
      <c r="G73" s="9" t="n">
        <v>0</v>
      </c>
      <c r="H73" s="7" t="n">
        <v>2.36</v>
      </c>
      <c r="I73" s="7" t="n">
        <v>0</v>
      </c>
      <c r="J73" s="7" t="n">
        <f aca="false">IF(F73=0,0,H73/F73)</f>
        <v>2.36</v>
      </c>
      <c r="K73" s="10" t="n">
        <f aca="false">IF(F73=0,0,G73/F73)</f>
        <v>0</v>
      </c>
      <c r="L73" s="10" t="str">
        <f aca="false">IF(I73=0,"",H73/I73)</f>
        <v/>
      </c>
      <c r="M73" s="10" t="n">
        <v>0</v>
      </c>
      <c r="N73" s="8" t="str">
        <f aca="false">IF(G73&gt;0,"Converting",IF(F73&gt;=Rules!$B$10,"Waste: 20+ clicks, 0 orders",IF(H73&gt;0,"Waste so far (under 20 clicks)","")))</f>
        <v>Waste so far (under 20 clicks)</v>
      </c>
      <c r="O73" s="8" t="s">
        <v>408</v>
      </c>
    </row>
    <row r="74" customFormat="false" ht="15" hidden="false" customHeight="false" outlineLevel="0" collapsed="false">
      <c r="A74" s="8" t="s">
        <v>445</v>
      </c>
      <c r="B74" s="8" t="s">
        <v>403</v>
      </c>
      <c r="C74" s="9" t="n">
        <v>1848</v>
      </c>
      <c r="D74" s="8" t="n">
        <v>140</v>
      </c>
      <c r="E74" s="9" t="n">
        <v>4</v>
      </c>
      <c r="F74" s="9" t="n">
        <v>1</v>
      </c>
      <c r="G74" s="9" t="n">
        <v>0</v>
      </c>
      <c r="H74" s="7" t="n">
        <v>2.36</v>
      </c>
      <c r="I74" s="7" t="n">
        <v>0</v>
      </c>
      <c r="J74" s="7" t="n">
        <f aca="false">IF(F74=0,0,H74/F74)</f>
        <v>2.36</v>
      </c>
      <c r="K74" s="10" t="n">
        <f aca="false">IF(F74=0,0,G74/F74)</f>
        <v>0</v>
      </c>
      <c r="L74" s="10" t="str">
        <f aca="false">IF(I74=0,"",H74/I74)</f>
        <v/>
      </c>
      <c r="M74" s="10" t="n">
        <v>0</v>
      </c>
      <c r="N74" s="8" t="str">
        <f aca="false">IF(G74&gt;0,"Converting",IF(F74&gt;=Rules!$B$10,"Waste: 20+ clicks, 0 orders",IF(H74&gt;0,"Waste so far (under 20 clicks)","")))</f>
        <v>Waste so far (under 20 clicks)</v>
      </c>
      <c r="O74" s="8" t="s">
        <v>410</v>
      </c>
    </row>
    <row r="75" customFormat="false" ht="15" hidden="false" customHeight="false" outlineLevel="0" collapsed="false">
      <c r="A75" s="8" t="s">
        <v>446</v>
      </c>
      <c r="B75" s="8" t="s">
        <v>401</v>
      </c>
      <c r="C75" s="9" t="n">
        <v>235</v>
      </c>
      <c r="D75" s="8"/>
      <c r="E75" s="9" t="n">
        <v>5</v>
      </c>
      <c r="F75" s="9" t="n">
        <v>1</v>
      </c>
      <c r="G75" s="9" t="n">
        <v>0</v>
      </c>
      <c r="H75" s="7" t="n">
        <v>2.36</v>
      </c>
      <c r="I75" s="7" t="n">
        <v>0</v>
      </c>
      <c r="J75" s="7" t="n">
        <f aca="false">IF(F75=0,0,H75/F75)</f>
        <v>2.36</v>
      </c>
      <c r="K75" s="10" t="n">
        <f aca="false">IF(F75=0,0,G75/F75)</f>
        <v>0</v>
      </c>
      <c r="L75" s="10" t="str">
        <f aca="false">IF(I75=0,"",H75/I75)</f>
        <v/>
      </c>
      <c r="M75" s="10" t="n">
        <v>0</v>
      </c>
      <c r="N75" s="8" t="str">
        <f aca="false">IF(G75&gt;0,"Converting",IF(F75&gt;=Rules!$B$10,"Waste: 20+ clicks, 0 orders",IF(H75&gt;0,"Waste so far (under 20 clicks)","")))</f>
        <v>Waste so far (under 20 clicks)</v>
      </c>
      <c r="O75" s="8" t="s">
        <v>408</v>
      </c>
    </row>
    <row r="76" customFormat="false" ht="15" hidden="false" customHeight="false" outlineLevel="0" collapsed="false">
      <c r="A76" s="8" t="s">
        <v>447</v>
      </c>
      <c r="B76" s="8" t="s">
        <v>403</v>
      </c>
      <c r="C76" s="9"/>
      <c r="D76" s="8"/>
      <c r="E76" s="9" t="n">
        <v>3</v>
      </c>
      <c r="F76" s="9" t="n">
        <v>1</v>
      </c>
      <c r="G76" s="9" t="n">
        <v>0</v>
      </c>
      <c r="H76" s="7" t="n">
        <v>2.36</v>
      </c>
      <c r="I76" s="7" t="n">
        <v>0</v>
      </c>
      <c r="J76" s="7" t="n">
        <f aca="false">IF(F76=0,0,H76/F76)</f>
        <v>2.36</v>
      </c>
      <c r="K76" s="10" t="n">
        <f aca="false">IF(F76=0,0,G76/F76)</f>
        <v>0</v>
      </c>
      <c r="L76" s="10" t="str">
        <f aca="false">IF(I76=0,"",H76/I76)</f>
        <v/>
      </c>
      <c r="M76" s="10" t="n">
        <v>0</v>
      </c>
      <c r="N76" s="8" t="str">
        <f aca="false">IF(G76&gt;0,"Converting",IF(F76&gt;=Rules!$B$10,"Waste: 20+ clicks, 0 orders",IF(H76&gt;0,"Waste so far (under 20 clicks)","")))</f>
        <v>Waste so far (under 20 clicks)</v>
      </c>
      <c r="O76" s="8" t="s">
        <v>408</v>
      </c>
    </row>
    <row r="77" customFormat="false" ht="15" hidden="false" customHeight="false" outlineLevel="0" collapsed="false">
      <c r="A77" s="8" t="s">
        <v>448</v>
      </c>
      <c r="B77" s="8" t="s">
        <v>401</v>
      </c>
      <c r="C77" s="9"/>
      <c r="D77" s="8"/>
      <c r="E77" s="9" t="n">
        <v>1</v>
      </c>
      <c r="F77" s="9" t="n">
        <v>1</v>
      </c>
      <c r="G77" s="9" t="n">
        <v>1</v>
      </c>
      <c r="H77" s="7" t="n">
        <v>2.28</v>
      </c>
      <c r="I77" s="7" t="n">
        <v>34.99</v>
      </c>
      <c r="J77" s="7" t="n">
        <f aca="false">IF(F77=0,0,H77/F77)</f>
        <v>2.28</v>
      </c>
      <c r="K77" s="10" t="n">
        <f aca="false">IF(F77=0,0,G77/F77)</f>
        <v>1</v>
      </c>
      <c r="L77" s="10" t="n">
        <f aca="false">IF(I77=0,"",H77/I77)</f>
        <v>0.0651614747070591</v>
      </c>
      <c r="M77" s="10" t="n">
        <v>0</v>
      </c>
      <c r="N77" s="8" t="str">
        <f aca="false">IF(G77&gt;0,"Converting",IF(F77&gt;=Rules!$B$10,"Waste: 20+ clicks, 0 orders",IF(H77&gt;0,"Waste so far (under 20 clicks)","")))</f>
        <v>Converting</v>
      </c>
      <c r="O77" s="8" t="s">
        <v>404</v>
      </c>
    </row>
    <row r="78" customFormat="false" ht="15" hidden="false" customHeight="false" outlineLevel="0" collapsed="false">
      <c r="A78" s="8" t="s">
        <v>449</v>
      </c>
      <c r="B78" s="8" t="s">
        <v>403</v>
      </c>
      <c r="C78" s="9" t="n">
        <v>615</v>
      </c>
      <c r="D78" s="8"/>
      <c r="E78" s="9" t="n">
        <v>11</v>
      </c>
      <c r="F78" s="9" t="n">
        <v>1</v>
      </c>
      <c r="G78" s="9" t="n">
        <v>0</v>
      </c>
      <c r="H78" s="7" t="n">
        <v>2.27</v>
      </c>
      <c r="I78" s="7" t="n">
        <v>0</v>
      </c>
      <c r="J78" s="7" t="n">
        <f aca="false">IF(F78=0,0,H78/F78)</f>
        <v>2.27</v>
      </c>
      <c r="K78" s="10" t="n">
        <f aca="false">IF(F78=0,0,G78/F78)</f>
        <v>0</v>
      </c>
      <c r="L78" s="10" t="str">
        <f aca="false">IF(I78=0,"",H78/I78)</f>
        <v/>
      </c>
      <c r="M78" s="10" t="n">
        <v>0</v>
      </c>
      <c r="N78" s="8" t="str">
        <f aca="false">IF(G78&gt;0,"Converting",IF(F78&gt;=Rules!$B$10,"Waste: 20+ clicks, 0 orders",IF(H78&gt;0,"Waste so far (under 20 clicks)","")))</f>
        <v>Waste so far (under 20 clicks)</v>
      </c>
      <c r="O78" s="8" t="s">
        <v>423</v>
      </c>
    </row>
    <row r="79" customFormat="false" ht="15" hidden="false" customHeight="false" outlineLevel="0" collapsed="false">
      <c r="A79" s="8" t="s">
        <v>450</v>
      </c>
      <c r="B79" s="8" t="s">
        <v>403</v>
      </c>
      <c r="C79" s="9" t="n">
        <v>58</v>
      </c>
      <c r="D79" s="8"/>
      <c r="E79" s="9" t="n">
        <v>1</v>
      </c>
      <c r="F79" s="9" t="n">
        <v>1</v>
      </c>
      <c r="G79" s="9" t="n">
        <v>0</v>
      </c>
      <c r="H79" s="7" t="n">
        <v>2.25</v>
      </c>
      <c r="I79" s="7" t="n">
        <v>0</v>
      </c>
      <c r="J79" s="7" t="n">
        <f aca="false">IF(F79=0,0,H79/F79)</f>
        <v>2.25</v>
      </c>
      <c r="K79" s="10" t="n">
        <f aca="false">IF(F79=0,0,G79/F79)</f>
        <v>0</v>
      </c>
      <c r="L79" s="10" t="str">
        <f aca="false">IF(I79=0,"",H79/I79)</f>
        <v/>
      </c>
      <c r="M79" s="10" t="n">
        <v>0</v>
      </c>
      <c r="N79" s="8" t="str">
        <f aca="false">IF(G79&gt;0,"Converting",IF(F79&gt;=Rules!$B$10,"Waste: 20+ clicks, 0 orders",IF(H79&gt;0,"Waste so far (under 20 clicks)","")))</f>
        <v>Waste so far (under 20 clicks)</v>
      </c>
      <c r="O79" s="8" t="s">
        <v>408</v>
      </c>
    </row>
    <row r="80" customFormat="false" ht="15" hidden="false" customHeight="false" outlineLevel="0" collapsed="false">
      <c r="A80" s="8" t="s">
        <v>451</v>
      </c>
      <c r="B80" s="8" t="s">
        <v>401</v>
      </c>
      <c r="C80" s="9" t="n">
        <v>250</v>
      </c>
      <c r="D80" s="8"/>
      <c r="E80" s="9" t="n">
        <v>1</v>
      </c>
      <c r="F80" s="9" t="n">
        <v>1</v>
      </c>
      <c r="G80" s="9" t="n">
        <v>0</v>
      </c>
      <c r="H80" s="7" t="n">
        <v>2.23</v>
      </c>
      <c r="I80" s="7" t="n">
        <v>0</v>
      </c>
      <c r="J80" s="7" t="n">
        <f aca="false">IF(F80=0,0,H80/F80)</f>
        <v>2.23</v>
      </c>
      <c r="K80" s="10" t="n">
        <f aca="false">IF(F80=0,0,G80/F80)</f>
        <v>0</v>
      </c>
      <c r="L80" s="10" t="str">
        <f aca="false">IF(I80=0,"",H80/I80)</f>
        <v/>
      </c>
      <c r="M80" s="10" t="n">
        <v>0</v>
      </c>
      <c r="N80" s="8" t="str">
        <f aca="false">IF(G80&gt;0,"Converting",IF(F80&gt;=Rules!$B$10,"Waste: 20+ clicks, 0 orders",IF(H80&gt;0,"Waste so far (under 20 clicks)","")))</f>
        <v>Waste so far (under 20 clicks)</v>
      </c>
      <c r="O80" s="8" t="s">
        <v>408</v>
      </c>
    </row>
    <row r="81" customFormat="false" ht="15" hidden="false" customHeight="false" outlineLevel="0" collapsed="false">
      <c r="A81" s="8" t="s">
        <v>452</v>
      </c>
      <c r="B81" s="8" t="s">
        <v>401</v>
      </c>
      <c r="C81" s="9" t="n">
        <v>11</v>
      </c>
      <c r="D81" s="8"/>
      <c r="E81" s="9" t="n">
        <v>4</v>
      </c>
      <c r="F81" s="9" t="n">
        <v>1</v>
      </c>
      <c r="G81" s="9" t="n">
        <v>0</v>
      </c>
      <c r="H81" s="7" t="n">
        <v>2.22</v>
      </c>
      <c r="I81" s="7" t="n">
        <v>0</v>
      </c>
      <c r="J81" s="7" t="n">
        <f aca="false">IF(F81=0,0,H81/F81)</f>
        <v>2.22</v>
      </c>
      <c r="K81" s="10" t="n">
        <f aca="false">IF(F81=0,0,G81/F81)</f>
        <v>0</v>
      </c>
      <c r="L81" s="10" t="str">
        <f aca="false">IF(I81=0,"",H81/I81)</f>
        <v/>
      </c>
      <c r="M81" s="10" t="n">
        <v>0</v>
      </c>
      <c r="N81" s="8" t="str">
        <f aca="false">IF(G81&gt;0,"Converting",IF(F81&gt;=Rules!$B$10,"Waste: 20+ clicks, 0 orders",IF(H81&gt;0,"Waste so far (under 20 clicks)","")))</f>
        <v>Waste so far (under 20 clicks)</v>
      </c>
      <c r="O81" s="8" t="s">
        <v>410</v>
      </c>
    </row>
    <row r="82" customFormat="false" ht="15" hidden="false" customHeight="false" outlineLevel="0" collapsed="false">
      <c r="A82" s="8" t="s">
        <v>453</v>
      </c>
      <c r="B82" s="8" t="s">
        <v>401</v>
      </c>
      <c r="C82" s="9" t="n">
        <v>244</v>
      </c>
      <c r="D82" s="8" t="n">
        <v>123</v>
      </c>
      <c r="E82" s="9" t="n">
        <v>8</v>
      </c>
      <c r="F82" s="9" t="n">
        <v>2</v>
      </c>
      <c r="G82" s="9" t="n">
        <v>0</v>
      </c>
      <c r="H82" s="7" t="n">
        <v>2.11</v>
      </c>
      <c r="I82" s="7" t="n">
        <v>0</v>
      </c>
      <c r="J82" s="7" t="n">
        <f aca="false">IF(F82=0,0,H82/F82)</f>
        <v>1.055</v>
      </c>
      <c r="K82" s="10" t="n">
        <f aca="false">IF(F82=0,0,G82/F82)</f>
        <v>0</v>
      </c>
      <c r="L82" s="10" t="str">
        <f aca="false">IF(I82=0,"",H82/I82)</f>
        <v/>
      </c>
      <c r="M82" s="10" t="n">
        <v>0.315789473684211</v>
      </c>
      <c r="N82" s="8" t="str">
        <f aca="false">IF(G82&gt;0,"Converting",IF(F82&gt;=Rules!$B$10,"Waste: 20+ clicks, 0 orders",IF(H82&gt;0,"Waste so far (under 20 clicks)","")))</f>
        <v>Waste so far (under 20 clicks)</v>
      </c>
      <c r="O82" s="8" t="s">
        <v>405</v>
      </c>
    </row>
    <row r="83" customFormat="false" ht="15" hidden="false" customHeight="false" outlineLevel="0" collapsed="false">
      <c r="A83" s="8" t="s">
        <v>454</v>
      </c>
      <c r="B83" s="8" t="s">
        <v>401</v>
      </c>
      <c r="C83" s="9" t="n">
        <v>1740</v>
      </c>
      <c r="D83" s="8"/>
      <c r="E83" s="9" t="n">
        <v>11</v>
      </c>
      <c r="F83" s="9" t="n">
        <v>1</v>
      </c>
      <c r="G83" s="9" t="n">
        <v>0</v>
      </c>
      <c r="H83" s="7" t="n">
        <v>2.1</v>
      </c>
      <c r="I83" s="7" t="n">
        <v>0</v>
      </c>
      <c r="J83" s="7" t="n">
        <f aca="false">IF(F83=0,0,H83/F83)</f>
        <v>2.1</v>
      </c>
      <c r="K83" s="10" t="n">
        <f aca="false">IF(F83=0,0,G83/F83)</f>
        <v>0</v>
      </c>
      <c r="L83" s="10" t="str">
        <f aca="false">IF(I83=0,"",H83/I83)</f>
        <v/>
      </c>
      <c r="M83" s="10" t="n">
        <v>0</v>
      </c>
      <c r="N83" s="8" t="str">
        <f aca="false">IF(G83&gt;0,"Converting",IF(F83&gt;=Rules!$B$10,"Waste: 20+ clicks, 0 orders",IF(H83&gt;0,"Waste so far (under 20 clicks)","")))</f>
        <v>Waste so far (under 20 clicks)</v>
      </c>
      <c r="O83" s="8" t="s">
        <v>423</v>
      </c>
    </row>
    <row r="84" customFormat="false" ht="15" hidden="false" customHeight="false" outlineLevel="0" collapsed="false">
      <c r="A84" s="8" t="s">
        <v>455</v>
      </c>
      <c r="B84" s="8" t="s">
        <v>401</v>
      </c>
      <c r="C84" s="9" t="n">
        <v>776</v>
      </c>
      <c r="D84" s="8"/>
      <c r="E84" s="9" t="n">
        <v>11</v>
      </c>
      <c r="F84" s="9" t="n">
        <v>1</v>
      </c>
      <c r="G84" s="9" t="n">
        <v>0</v>
      </c>
      <c r="H84" s="7" t="n">
        <v>2.08</v>
      </c>
      <c r="I84" s="7" t="n">
        <v>0</v>
      </c>
      <c r="J84" s="7" t="n">
        <f aca="false">IF(F84=0,0,H84/F84)</f>
        <v>2.08</v>
      </c>
      <c r="K84" s="10" t="n">
        <f aca="false">IF(F84=0,0,G84/F84)</f>
        <v>0</v>
      </c>
      <c r="L84" s="10" t="str">
        <f aca="false">IF(I84=0,"",H84/I84)</f>
        <v/>
      </c>
      <c r="M84" s="10" t="n">
        <v>0</v>
      </c>
      <c r="N84" s="8" t="str">
        <f aca="false">IF(G84&gt;0,"Converting",IF(F84&gt;=Rules!$B$10,"Waste: 20+ clicks, 0 orders",IF(H84&gt;0,"Waste so far (under 20 clicks)","")))</f>
        <v>Waste so far (under 20 clicks)</v>
      </c>
      <c r="O84" s="8" t="s">
        <v>423</v>
      </c>
    </row>
    <row r="85" customFormat="false" ht="15" hidden="false" customHeight="false" outlineLevel="0" collapsed="false">
      <c r="A85" s="8" t="s">
        <v>456</v>
      </c>
      <c r="B85" s="8" t="s">
        <v>403</v>
      </c>
      <c r="C85" s="9"/>
      <c r="D85" s="8"/>
      <c r="E85" s="9" t="n">
        <v>1</v>
      </c>
      <c r="F85" s="9" t="n">
        <v>1</v>
      </c>
      <c r="G85" s="9" t="n">
        <v>0</v>
      </c>
      <c r="H85" s="7" t="n">
        <v>2.02</v>
      </c>
      <c r="I85" s="7" t="n">
        <v>0</v>
      </c>
      <c r="J85" s="7" t="n">
        <f aca="false">IF(F85=0,0,H85/F85)</f>
        <v>2.02</v>
      </c>
      <c r="K85" s="10" t="n">
        <f aca="false">IF(F85=0,0,G85/F85)</f>
        <v>0</v>
      </c>
      <c r="L85" s="10" t="str">
        <f aca="false">IF(I85=0,"",H85/I85)</f>
        <v/>
      </c>
      <c r="M85" s="10" t="n">
        <v>0</v>
      </c>
      <c r="N85" s="8" t="str">
        <f aca="false">IF(G85&gt;0,"Converting",IF(F85&gt;=Rules!$B$10,"Waste: 20+ clicks, 0 orders",IF(H85&gt;0,"Waste so far (under 20 clicks)","")))</f>
        <v>Waste so far (under 20 clicks)</v>
      </c>
      <c r="O85" s="8" t="s">
        <v>408</v>
      </c>
    </row>
    <row r="86" customFormat="false" ht="15" hidden="false" customHeight="false" outlineLevel="0" collapsed="false">
      <c r="A86" s="8" t="s">
        <v>457</v>
      </c>
      <c r="B86" s="8" t="s">
        <v>403</v>
      </c>
      <c r="C86" s="9" t="n">
        <v>605</v>
      </c>
      <c r="D86" s="8"/>
      <c r="E86" s="9" t="n">
        <v>2</v>
      </c>
      <c r="F86" s="9" t="n">
        <v>1</v>
      </c>
      <c r="G86" s="9" t="n">
        <v>0</v>
      </c>
      <c r="H86" s="7" t="n">
        <v>2.01</v>
      </c>
      <c r="I86" s="7" t="n">
        <v>0</v>
      </c>
      <c r="J86" s="7" t="n">
        <f aca="false">IF(F86=0,0,H86/F86)</f>
        <v>2.01</v>
      </c>
      <c r="K86" s="10" t="n">
        <f aca="false">IF(F86=0,0,G86/F86)</f>
        <v>0</v>
      </c>
      <c r="L86" s="10" t="str">
        <f aca="false">IF(I86=0,"",H86/I86)</f>
        <v/>
      </c>
      <c r="M86" s="10" t="n">
        <v>0</v>
      </c>
      <c r="N86" s="8" t="str">
        <f aca="false">IF(G86&gt;0,"Converting",IF(F86&gt;=Rules!$B$10,"Waste: 20+ clicks, 0 orders",IF(H86&gt;0,"Waste so far (under 20 clicks)","")))</f>
        <v>Waste so far (under 20 clicks)</v>
      </c>
      <c r="O86" s="8" t="s">
        <v>408</v>
      </c>
    </row>
    <row r="87" customFormat="false" ht="15" hidden="false" customHeight="false" outlineLevel="0" collapsed="false">
      <c r="A87" s="8" t="s">
        <v>458</v>
      </c>
      <c r="B87" s="8" t="s">
        <v>403</v>
      </c>
      <c r="C87" s="9" t="n">
        <v>610</v>
      </c>
      <c r="D87" s="8"/>
      <c r="E87" s="9" t="n">
        <v>6</v>
      </c>
      <c r="F87" s="9" t="n">
        <v>1</v>
      </c>
      <c r="G87" s="9" t="n">
        <v>0</v>
      </c>
      <c r="H87" s="7" t="n">
        <v>1.94</v>
      </c>
      <c r="I87" s="7" t="n">
        <v>0</v>
      </c>
      <c r="J87" s="7" t="n">
        <f aca="false">IF(F87=0,0,H87/F87)</f>
        <v>1.94</v>
      </c>
      <c r="K87" s="10" t="n">
        <f aca="false">IF(F87=0,0,G87/F87)</f>
        <v>0</v>
      </c>
      <c r="L87" s="10" t="str">
        <f aca="false">IF(I87=0,"",H87/I87)</f>
        <v/>
      </c>
      <c r="M87" s="10" t="n">
        <v>0</v>
      </c>
      <c r="N87" s="8" t="str">
        <f aca="false">IF(G87&gt;0,"Converting",IF(F87&gt;=Rules!$B$10,"Waste: 20+ clicks, 0 orders",IF(H87&gt;0,"Waste so far (under 20 clicks)","")))</f>
        <v>Waste so far (under 20 clicks)</v>
      </c>
      <c r="O87" s="8" t="s">
        <v>408</v>
      </c>
    </row>
    <row r="88" customFormat="false" ht="15" hidden="false" customHeight="false" outlineLevel="0" collapsed="false">
      <c r="A88" s="8" t="s">
        <v>459</v>
      </c>
      <c r="B88" s="8" t="s">
        <v>401</v>
      </c>
      <c r="C88" s="9" t="n">
        <v>14</v>
      </c>
      <c r="D88" s="8"/>
      <c r="E88" s="9" t="n">
        <v>8</v>
      </c>
      <c r="F88" s="9" t="n">
        <v>1</v>
      </c>
      <c r="G88" s="9" t="n">
        <v>0</v>
      </c>
      <c r="H88" s="7" t="n">
        <v>1.83</v>
      </c>
      <c r="I88" s="7" t="n">
        <v>0</v>
      </c>
      <c r="J88" s="7" t="n">
        <f aca="false">IF(F88=0,0,H88/F88)</f>
        <v>1.83</v>
      </c>
      <c r="K88" s="10" t="n">
        <f aca="false">IF(F88=0,0,G88/F88)</f>
        <v>0</v>
      </c>
      <c r="L88" s="10" t="str">
        <f aca="false">IF(I88=0,"",H88/I88)</f>
        <v/>
      </c>
      <c r="M88" s="10" t="n">
        <v>0</v>
      </c>
      <c r="N88" s="8" t="str">
        <f aca="false">IF(G88&gt;0,"Converting",IF(F88&gt;=Rules!$B$10,"Waste: 20+ clicks, 0 orders",IF(H88&gt;0,"Waste so far (under 20 clicks)","")))</f>
        <v>Waste so far (under 20 clicks)</v>
      </c>
      <c r="O88" s="8" t="s">
        <v>405</v>
      </c>
    </row>
    <row r="89" customFormat="false" ht="15" hidden="false" customHeight="false" outlineLevel="0" collapsed="false">
      <c r="A89" s="8" t="s">
        <v>460</v>
      </c>
      <c r="B89" s="8" t="s">
        <v>403</v>
      </c>
      <c r="C89" s="9" t="n">
        <v>12</v>
      </c>
      <c r="D89" s="8" t="n">
        <v>78</v>
      </c>
      <c r="E89" s="9" t="n">
        <v>1</v>
      </c>
      <c r="F89" s="9" t="n">
        <v>1</v>
      </c>
      <c r="G89" s="9" t="n">
        <v>0</v>
      </c>
      <c r="H89" s="7" t="n">
        <v>1.82</v>
      </c>
      <c r="I89" s="7" t="n">
        <v>0</v>
      </c>
      <c r="J89" s="7" t="n">
        <f aca="false">IF(F89=0,0,H89/F89)</f>
        <v>1.82</v>
      </c>
      <c r="K89" s="10" t="n">
        <f aca="false">IF(F89=0,0,G89/F89)</f>
        <v>0</v>
      </c>
      <c r="L89" s="10" t="str">
        <f aca="false">IF(I89=0,"",H89/I89)</f>
        <v/>
      </c>
      <c r="M89" s="10" t="n">
        <v>0.966133584195673</v>
      </c>
      <c r="N89" s="8" t="str">
        <f aca="false">IF(G89&gt;0,"Converting",IF(F89&gt;=Rules!$B$10,"Waste: 20+ clicks, 0 orders",IF(H89&gt;0,"Waste so far (under 20 clicks)","")))</f>
        <v>Waste so far (under 20 clicks)</v>
      </c>
      <c r="O89" s="8" t="s">
        <v>405</v>
      </c>
    </row>
    <row r="90" customFormat="false" ht="15" hidden="false" customHeight="false" outlineLevel="0" collapsed="false">
      <c r="A90" s="8" t="s">
        <v>461</v>
      </c>
      <c r="B90" s="8" t="s">
        <v>401</v>
      </c>
      <c r="C90" s="9" t="n">
        <v>11</v>
      </c>
      <c r="D90" s="8"/>
      <c r="E90" s="9" t="n">
        <v>5</v>
      </c>
      <c r="F90" s="9" t="n">
        <v>1</v>
      </c>
      <c r="G90" s="9" t="n">
        <v>0</v>
      </c>
      <c r="H90" s="7" t="n">
        <v>1.82</v>
      </c>
      <c r="I90" s="7" t="n">
        <v>0</v>
      </c>
      <c r="J90" s="7" t="n">
        <f aca="false">IF(F90=0,0,H90/F90)</f>
        <v>1.82</v>
      </c>
      <c r="K90" s="10" t="n">
        <f aca="false">IF(F90=0,0,G90/F90)</f>
        <v>0</v>
      </c>
      <c r="L90" s="10" t="str">
        <f aca="false">IF(I90=0,"",H90/I90)</f>
        <v/>
      </c>
      <c r="M90" s="10" t="n">
        <v>0</v>
      </c>
      <c r="N90" s="8" t="str">
        <f aca="false">IF(G90&gt;0,"Converting",IF(F90&gt;=Rules!$B$10,"Waste: 20+ clicks, 0 orders",IF(H90&gt;0,"Waste so far (under 20 clicks)","")))</f>
        <v>Waste so far (under 20 clicks)</v>
      </c>
      <c r="O90" s="8" t="s">
        <v>410</v>
      </c>
    </row>
    <row r="91" customFormat="false" ht="15" hidden="false" customHeight="false" outlineLevel="0" collapsed="false">
      <c r="A91" s="8" t="s">
        <v>462</v>
      </c>
      <c r="B91" s="8" t="s">
        <v>403</v>
      </c>
      <c r="C91" s="9" t="n">
        <v>8540</v>
      </c>
      <c r="D91" s="8"/>
      <c r="E91" s="9" t="n">
        <v>7</v>
      </c>
      <c r="F91" s="9" t="n">
        <v>1</v>
      </c>
      <c r="G91" s="9" t="n">
        <v>0</v>
      </c>
      <c r="H91" s="7" t="n">
        <v>1.81</v>
      </c>
      <c r="I91" s="7" t="n">
        <v>0</v>
      </c>
      <c r="J91" s="7" t="n">
        <f aca="false">IF(F91=0,0,H91/F91)</f>
        <v>1.81</v>
      </c>
      <c r="K91" s="10" t="n">
        <f aca="false">IF(F91=0,0,G91/F91)</f>
        <v>0</v>
      </c>
      <c r="L91" s="10" t="str">
        <f aca="false">IF(I91=0,"",H91/I91)</f>
        <v/>
      </c>
      <c r="M91" s="10" t="n">
        <v>0</v>
      </c>
      <c r="N91" s="8" t="str">
        <f aca="false">IF(G91&gt;0,"Converting",IF(F91&gt;=Rules!$B$10,"Waste: 20+ clicks, 0 orders",IF(H91&gt;0,"Waste so far (under 20 clicks)","")))</f>
        <v>Waste so far (under 20 clicks)</v>
      </c>
      <c r="O91" s="8" t="s">
        <v>408</v>
      </c>
    </row>
    <row r="92" customFormat="false" ht="15" hidden="false" customHeight="false" outlineLevel="0" collapsed="false">
      <c r="A92" s="8" t="s">
        <v>463</v>
      </c>
      <c r="B92" s="8"/>
      <c r="C92" s="9"/>
      <c r="D92" s="8"/>
      <c r="E92" s="9" t="n">
        <v>9</v>
      </c>
      <c r="F92" s="9" t="n">
        <v>1</v>
      </c>
      <c r="G92" s="9" t="n">
        <v>0</v>
      </c>
      <c r="H92" s="7" t="n">
        <v>1.73</v>
      </c>
      <c r="I92" s="7" t="n">
        <v>0</v>
      </c>
      <c r="J92" s="7" t="n">
        <f aca="false">IF(F92=0,0,H92/F92)</f>
        <v>1.73</v>
      </c>
      <c r="K92" s="10" t="n">
        <f aca="false">IF(F92=0,0,G92/F92)</f>
        <v>0</v>
      </c>
      <c r="L92" s="10" t="str">
        <f aca="false">IF(I92=0,"",H92/I92)</f>
        <v/>
      </c>
      <c r="M92" s="10" t="n">
        <v>0.966133584195673</v>
      </c>
      <c r="N92" s="8" t="str">
        <f aca="false">IF(G92&gt;0,"Converting",IF(F92&gt;=Rules!$B$10,"Waste: 20+ clicks, 0 orders",IF(H92&gt;0,"Waste so far (under 20 clicks)","")))</f>
        <v>Waste so far (under 20 clicks)</v>
      </c>
      <c r="O92" s="8" t="s">
        <v>408</v>
      </c>
    </row>
    <row r="93" customFormat="false" ht="15" hidden="false" customHeight="false" outlineLevel="0" collapsed="false">
      <c r="A93" s="8" t="s">
        <v>464</v>
      </c>
      <c r="B93" s="8" t="s">
        <v>401</v>
      </c>
      <c r="C93" s="9" t="n">
        <v>5</v>
      </c>
      <c r="D93" s="8"/>
      <c r="E93" s="9" t="n">
        <v>8</v>
      </c>
      <c r="F93" s="9" t="n">
        <v>2</v>
      </c>
      <c r="G93" s="9" t="n">
        <v>0</v>
      </c>
      <c r="H93" s="7" t="n">
        <v>1.7</v>
      </c>
      <c r="I93" s="7" t="n">
        <v>0</v>
      </c>
      <c r="J93" s="7" t="n">
        <f aca="false">IF(F93=0,0,H93/F93)</f>
        <v>0.85</v>
      </c>
      <c r="K93" s="10" t="n">
        <f aca="false">IF(F93=0,0,G93/F93)</f>
        <v>0</v>
      </c>
      <c r="L93" s="10" t="str">
        <f aca="false">IF(I93=0,"",H93/I93)</f>
        <v/>
      </c>
      <c r="M93" s="10" t="n">
        <v>0.194805194805195</v>
      </c>
      <c r="N93" s="8" t="str">
        <f aca="false">IF(G93&gt;0,"Converting",IF(F93&gt;=Rules!$B$10,"Waste: 20+ clicks, 0 orders",IF(H93&gt;0,"Waste so far (under 20 clicks)","")))</f>
        <v>Waste so far (under 20 clicks)</v>
      </c>
      <c r="O93" s="8" t="s">
        <v>410</v>
      </c>
    </row>
    <row r="94" customFormat="false" ht="15" hidden="false" customHeight="false" outlineLevel="0" collapsed="false">
      <c r="A94" s="8" t="s">
        <v>465</v>
      </c>
      <c r="B94" s="8" t="s">
        <v>403</v>
      </c>
      <c r="C94" s="9" t="n">
        <v>617</v>
      </c>
      <c r="D94" s="8"/>
      <c r="E94" s="9" t="n">
        <v>6</v>
      </c>
      <c r="F94" s="9" t="n">
        <v>1</v>
      </c>
      <c r="G94" s="9" t="n">
        <v>0</v>
      </c>
      <c r="H94" s="7" t="n">
        <v>1.7</v>
      </c>
      <c r="I94" s="7" t="n">
        <v>0</v>
      </c>
      <c r="J94" s="7" t="n">
        <f aca="false">IF(F94=0,0,H94/F94)</f>
        <v>1.7</v>
      </c>
      <c r="K94" s="10" t="n">
        <f aca="false">IF(F94=0,0,G94/F94)</f>
        <v>0</v>
      </c>
      <c r="L94" s="10" t="str">
        <f aca="false">IF(I94=0,"",H94/I94)</f>
        <v/>
      </c>
      <c r="M94" s="10" t="n">
        <v>0</v>
      </c>
      <c r="N94" s="8" t="str">
        <f aca="false">IF(G94&gt;0,"Converting",IF(F94&gt;=Rules!$B$10,"Waste: 20+ clicks, 0 orders",IF(H94&gt;0,"Waste so far (under 20 clicks)","")))</f>
        <v>Waste so far (under 20 clicks)</v>
      </c>
      <c r="O94" s="8" t="s">
        <v>408</v>
      </c>
    </row>
    <row r="95" customFormat="false" ht="15" hidden="false" customHeight="false" outlineLevel="0" collapsed="false">
      <c r="A95" s="8" t="s">
        <v>466</v>
      </c>
      <c r="B95" s="8" t="s">
        <v>401</v>
      </c>
      <c r="C95" s="9" t="n">
        <v>89</v>
      </c>
      <c r="D95" s="8" t="n">
        <v>115</v>
      </c>
      <c r="E95" s="9" t="n">
        <v>3</v>
      </c>
      <c r="F95" s="9" t="n">
        <v>1</v>
      </c>
      <c r="G95" s="9" t="n">
        <v>0</v>
      </c>
      <c r="H95" s="7" t="n">
        <v>1.66</v>
      </c>
      <c r="I95" s="7" t="n">
        <v>0</v>
      </c>
      <c r="J95" s="7" t="n">
        <f aca="false">IF(F95=0,0,H95/F95)</f>
        <v>1.66</v>
      </c>
      <c r="K95" s="10" t="n">
        <f aca="false">IF(F95=0,0,G95/F95)</f>
        <v>0</v>
      </c>
      <c r="L95" s="10" t="str">
        <f aca="false">IF(I95=0,"",H95/I95)</f>
        <v/>
      </c>
      <c r="M95" s="10" t="n">
        <v>0.315789473684211</v>
      </c>
      <c r="N95" s="8" t="str">
        <f aca="false">IF(G95&gt;0,"Converting",IF(F95&gt;=Rules!$B$10,"Waste: 20+ clicks, 0 orders",IF(H95&gt;0,"Waste so far (under 20 clicks)","")))</f>
        <v>Waste so far (under 20 clicks)</v>
      </c>
      <c r="O95" s="8" t="s">
        <v>405</v>
      </c>
    </row>
    <row r="96" customFormat="false" ht="15" hidden="false" customHeight="false" outlineLevel="0" collapsed="false">
      <c r="A96" s="8" t="s">
        <v>467</v>
      </c>
      <c r="B96" s="8" t="s">
        <v>401</v>
      </c>
      <c r="C96" s="9" t="n">
        <v>10</v>
      </c>
      <c r="D96" s="8"/>
      <c r="E96" s="9" t="n">
        <v>1</v>
      </c>
      <c r="F96" s="9" t="n">
        <v>1</v>
      </c>
      <c r="G96" s="9" t="n">
        <v>0</v>
      </c>
      <c r="H96" s="7" t="n">
        <v>1.62</v>
      </c>
      <c r="I96" s="7" t="n">
        <v>0</v>
      </c>
      <c r="J96" s="7" t="n">
        <f aca="false">IF(F96=0,0,H96/F96)</f>
        <v>1.62</v>
      </c>
      <c r="K96" s="10" t="n">
        <f aca="false">IF(F96=0,0,G96/F96)</f>
        <v>0</v>
      </c>
      <c r="L96" s="10" t="str">
        <f aca="false">IF(I96=0,"",H96/I96)</f>
        <v/>
      </c>
      <c r="M96" s="10" t="n">
        <v>0</v>
      </c>
      <c r="N96" s="8" t="str">
        <f aca="false">IF(G96&gt;0,"Converting",IF(F96&gt;=Rules!$B$10,"Waste: 20+ clicks, 0 orders",IF(H96&gt;0,"Waste so far (under 20 clicks)","")))</f>
        <v>Waste so far (under 20 clicks)</v>
      </c>
      <c r="O96" s="8" t="s">
        <v>405</v>
      </c>
    </row>
    <row r="97" customFormat="false" ht="15" hidden="false" customHeight="false" outlineLevel="0" collapsed="false">
      <c r="A97" s="8" t="s">
        <v>468</v>
      </c>
      <c r="B97" s="8" t="s">
        <v>401</v>
      </c>
      <c r="C97" s="9" t="n">
        <v>598</v>
      </c>
      <c r="D97" s="8"/>
      <c r="E97" s="9" t="n">
        <v>2</v>
      </c>
      <c r="F97" s="9" t="n">
        <v>1</v>
      </c>
      <c r="G97" s="9" t="n">
        <v>0</v>
      </c>
      <c r="H97" s="7" t="n">
        <v>1.52</v>
      </c>
      <c r="I97" s="7" t="n">
        <v>0</v>
      </c>
      <c r="J97" s="7" t="n">
        <f aca="false">IF(F97=0,0,H97/F97)</f>
        <v>1.52</v>
      </c>
      <c r="K97" s="10" t="n">
        <f aca="false">IF(F97=0,0,G97/F97)</f>
        <v>0</v>
      </c>
      <c r="L97" s="10" t="str">
        <f aca="false">IF(I97=0,"",H97/I97)</f>
        <v/>
      </c>
      <c r="M97" s="10" t="n">
        <v>0</v>
      </c>
      <c r="N97" s="8" t="str">
        <f aca="false">IF(G97&gt;0,"Converting",IF(F97&gt;=Rules!$B$10,"Waste: 20+ clicks, 0 orders",IF(H97&gt;0,"Waste so far (under 20 clicks)","")))</f>
        <v>Waste so far (under 20 clicks)</v>
      </c>
      <c r="O97" s="8" t="s">
        <v>410</v>
      </c>
    </row>
    <row r="98" customFormat="false" ht="15" hidden="false" customHeight="false" outlineLevel="0" collapsed="false">
      <c r="A98" s="8" t="s">
        <v>469</v>
      </c>
      <c r="B98" s="8"/>
      <c r="C98" s="9"/>
      <c r="D98" s="8"/>
      <c r="E98" s="9" t="n">
        <v>1</v>
      </c>
      <c r="F98" s="9" t="n">
        <v>1</v>
      </c>
      <c r="G98" s="9" t="n">
        <v>0</v>
      </c>
      <c r="H98" s="7" t="n">
        <v>1.44</v>
      </c>
      <c r="I98" s="7" t="n">
        <v>0</v>
      </c>
      <c r="J98" s="7" t="n">
        <f aca="false">IF(F98=0,0,H98/F98)</f>
        <v>1.44</v>
      </c>
      <c r="K98" s="10" t="n">
        <f aca="false">IF(F98=0,0,G98/F98)</f>
        <v>0</v>
      </c>
      <c r="L98" s="10" t="str">
        <f aca="false">IF(I98=0,"",H98/I98)</f>
        <v/>
      </c>
      <c r="M98" s="10" t="n">
        <v>0</v>
      </c>
      <c r="N98" s="8" t="str">
        <f aca="false">IF(G98&gt;0,"Converting",IF(F98&gt;=Rules!$B$10,"Waste: 20+ clicks, 0 orders",IF(H98&gt;0,"Waste so far (under 20 clicks)","")))</f>
        <v>Waste so far (under 20 clicks)</v>
      </c>
      <c r="O98" s="8" t="s">
        <v>405</v>
      </c>
    </row>
    <row r="99" customFormat="false" ht="15" hidden="false" customHeight="false" outlineLevel="0" collapsed="false">
      <c r="A99" s="8" t="s">
        <v>132</v>
      </c>
      <c r="B99" s="8" t="s">
        <v>470</v>
      </c>
      <c r="C99" s="9" t="n">
        <v>9</v>
      </c>
      <c r="D99" s="8" t="n">
        <v>1</v>
      </c>
      <c r="E99" s="9" t="n">
        <v>5</v>
      </c>
      <c r="F99" s="9" t="n">
        <v>4</v>
      </c>
      <c r="G99" s="9" t="n">
        <v>0</v>
      </c>
      <c r="H99" s="7" t="n">
        <v>1.38</v>
      </c>
      <c r="I99" s="7" t="n">
        <v>0</v>
      </c>
      <c r="J99" s="7" t="n">
        <f aca="false">IF(F99=0,0,H99/F99)</f>
        <v>0.345</v>
      </c>
      <c r="K99" s="10" t="n">
        <f aca="false">IF(F99=0,0,G99/F99)</f>
        <v>0</v>
      </c>
      <c r="L99" s="10" t="str">
        <f aca="false">IF(I99=0,"",H99/I99)</f>
        <v/>
      </c>
      <c r="M99" s="10" t="n">
        <v>0</v>
      </c>
      <c r="N99" s="8" t="str">
        <f aca="false">IF(G99&gt;0,"Converting",IF(F99&gt;=Rules!$B$10,"Waste: 20+ clicks, 0 orders",IF(H99&gt;0,"Waste so far (under 20 clicks)","")))</f>
        <v>Waste so far (under 20 clicks)</v>
      </c>
      <c r="O99" s="8" t="s">
        <v>471</v>
      </c>
    </row>
    <row r="100" customFormat="false" ht="15" hidden="false" customHeight="false" outlineLevel="0" collapsed="false">
      <c r="A100" s="8" t="s">
        <v>472</v>
      </c>
      <c r="B100" s="8" t="s">
        <v>401</v>
      </c>
      <c r="C100" s="9" t="n">
        <v>99</v>
      </c>
      <c r="D100" s="8"/>
      <c r="E100" s="9" t="n">
        <v>3</v>
      </c>
      <c r="F100" s="9" t="n">
        <v>1</v>
      </c>
      <c r="G100" s="9" t="n">
        <v>0</v>
      </c>
      <c r="H100" s="7" t="n">
        <v>1.37</v>
      </c>
      <c r="I100" s="7" t="n">
        <v>0</v>
      </c>
      <c r="J100" s="7" t="n">
        <f aca="false">IF(F100=0,0,H100/F100)</f>
        <v>1.37</v>
      </c>
      <c r="K100" s="10" t="n">
        <f aca="false">IF(F100=0,0,G100/F100)</f>
        <v>0</v>
      </c>
      <c r="L100" s="10" t="str">
        <f aca="false">IF(I100=0,"",H100/I100)</f>
        <v/>
      </c>
      <c r="M100" s="10" t="n">
        <v>0</v>
      </c>
      <c r="N100" s="8" t="str">
        <f aca="false">IF(G100&gt;0,"Converting",IF(F100&gt;=Rules!$B$10,"Waste: 20+ clicks, 0 orders",IF(H100&gt;0,"Waste so far (under 20 clicks)","")))</f>
        <v>Waste so far (under 20 clicks)</v>
      </c>
      <c r="O100" s="8" t="s">
        <v>405</v>
      </c>
    </row>
    <row r="101" customFormat="false" ht="15" hidden="false" customHeight="false" outlineLevel="0" collapsed="false">
      <c r="A101" s="8" t="s">
        <v>473</v>
      </c>
      <c r="B101" s="8" t="s">
        <v>401</v>
      </c>
      <c r="C101" s="9"/>
      <c r="D101" s="8"/>
      <c r="E101" s="9" t="n">
        <v>6</v>
      </c>
      <c r="F101" s="9" t="n">
        <v>1</v>
      </c>
      <c r="G101" s="9" t="n">
        <v>0</v>
      </c>
      <c r="H101" s="7" t="n">
        <v>1.35</v>
      </c>
      <c r="I101" s="7" t="n">
        <v>0</v>
      </c>
      <c r="J101" s="7" t="n">
        <f aca="false">IF(F101=0,0,H101/F101)</f>
        <v>1.35</v>
      </c>
      <c r="K101" s="10" t="n">
        <f aca="false">IF(F101=0,0,G101/F101)</f>
        <v>0</v>
      </c>
      <c r="L101" s="10" t="str">
        <f aca="false">IF(I101=0,"",H101/I101)</f>
        <v/>
      </c>
      <c r="M101" s="10" t="n">
        <v>0</v>
      </c>
      <c r="N101" s="8" t="str">
        <f aca="false">IF(G101&gt;0,"Converting",IF(F101&gt;=Rules!$B$10,"Waste: 20+ clicks, 0 orders",IF(H101&gt;0,"Waste so far (under 20 clicks)","")))</f>
        <v>Waste so far (under 20 clicks)</v>
      </c>
      <c r="O101" s="8" t="s">
        <v>408</v>
      </c>
    </row>
    <row r="102" customFormat="false" ht="15" hidden="false" customHeight="false" outlineLevel="0" collapsed="false">
      <c r="A102" s="8" t="s">
        <v>474</v>
      </c>
      <c r="B102" s="8" t="s">
        <v>403</v>
      </c>
      <c r="C102" s="9"/>
      <c r="D102" s="8"/>
      <c r="E102" s="9" t="n">
        <v>1</v>
      </c>
      <c r="F102" s="9" t="n">
        <v>1</v>
      </c>
      <c r="G102" s="9" t="n">
        <v>0</v>
      </c>
      <c r="H102" s="7" t="n">
        <v>1.35</v>
      </c>
      <c r="I102" s="7" t="n">
        <v>0</v>
      </c>
      <c r="J102" s="7" t="n">
        <f aca="false">IF(F102=0,0,H102/F102)</f>
        <v>1.35</v>
      </c>
      <c r="K102" s="10" t="n">
        <f aca="false">IF(F102=0,0,G102/F102)</f>
        <v>0</v>
      </c>
      <c r="L102" s="10" t="str">
        <f aca="false">IF(I102=0,"",H102/I102)</f>
        <v/>
      </c>
      <c r="M102" s="10" t="n">
        <v>0</v>
      </c>
      <c r="N102" s="8" t="str">
        <f aca="false">IF(G102&gt;0,"Converting",IF(F102&gt;=Rules!$B$10,"Waste: 20+ clicks, 0 orders",IF(H102&gt;0,"Waste so far (under 20 clicks)","")))</f>
        <v>Waste so far (under 20 clicks)</v>
      </c>
      <c r="O102" s="8" t="s">
        <v>408</v>
      </c>
    </row>
    <row r="103" customFormat="false" ht="15" hidden="false" customHeight="false" outlineLevel="0" collapsed="false">
      <c r="A103" s="8" t="s">
        <v>475</v>
      </c>
      <c r="B103" s="8" t="s">
        <v>403</v>
      </c>
      <c r="C103" s="9" t="n">
        <v>49</v>
      </c>
      <c r="D103" s="8"/>
      <c r="E103" s="9" t="n">
        <v>12</v>
      </c>
      <c r="F103" s="9" t="n">
        <v>1</v>
      </c>
      <c r="G103" s="9" t="n">
        <v>0</v>
      </c>
      <c r="H103" s="7" t="n">
        <v>1.29</v>
      </c>
      <c r="I103" s="7" t="n">
        <v>0</v>
      </c>
      <c r="J103" s="7" t="n">
        <f aca="false">IF(F103=0,0,H103/F103)</f>
        <v>1.29</v>
      </c>
      <c r="K103" s="10" t="n">
        <f aca="false">IF(F103=0,0,G103/F103)</f>
        <v>0</v>
      </c>
      <c r="L103" s="10" t="str">
        <f aca="false">IF(I103=0,"",H103/I103)</f>
        <v/>
      </c>
      <c r="M103" s="10" t="n">
        <v>0</v>
      </c>
      <c r="N103" s="8" t="str">
        <f aca="false">IF(G103&gt;0,"Converting",IF(F103&gt;=Rules!$B$10,"Waste: 20+ clicks, 0 orders",IF(H103&gt;0,"Waste so far (under 20 clicks)","")))</f>
        <v>Waste so far (under 20 clicks)</v>
      </c>
      <c r="O103" s="8" t="s">
        <v>410</v>
      </c>
    </row>
    <row r="104" customFormat="false" ht="15" hidden="false" customHeight="false" outlineLevel="0" collapsed="false">
      <c r="A104" s="8" t="s">
        <v>476</v>
      </c>
      <c r="B104" s="8" t="s">
        <v>401</v>
      </c>
      <c r="C104" s="9" t="n">
        <v>51</v>
      </c>
      <c r="D104" s="8"/>
      <c r="E104" s="9" t="n">
        <v>1</v>
      </c>
      <c r="F104" s="9" t="n">
        <v>1</v>
      </c>
      <c r="G104" s="9" t="n">
        <v>0</v>
      </c>
      <c r="H104" s="7" t="n">
        <v>1.25</v>
      </c>
      <c r="I104" s="7" t="n">
        <v>0</v>
      </c>
      <c r="J104" s="7" t="n">
        <f aca="false">IF(F104=0,0,H104/F104)</f>
        <v>1.25</v>
      </c>
      <c r="K104" s="10" t="n">
        <f aca="false">IF(F104=0,0,G104/F104)</f>
        <v>0</v>
      </c>
      <c r="L104" s="10" t="str">
        <f aca="false">IF(I104=0,"",H104/I104)</f>
        <v/>
      </c>
      <c r="M104" s="10" t="n">
        <v>0</v>
      </c>
      <c r="N104" s="8" t="str">
        <f aca="false">IF(G104&gt;0,"Converting",IF(F104&gt;=Rules!$B$10,"Waste: 20+ clicks, 0 orders",IF(H104&gt;0,"Waste so far (under 20 clicks)","")))</f>
        <v>Waste so far (under 20 clicks)</v>
      </c>
      <c r="O104" s="8" t="s">
        <v>408</v>
      </c>
    </row>
    <row r="105" customFormat="false" ht="15" hidden="false" customHeight="false" outlineLevel="0" collapsed="false">
      <c r="A105" s="8" t="s">
        <v>477</v>
      </c>
      <c r="B105" s="8" t="s">
        <v>403</v>
      </c>
      <c r="C105" s="9" t="n">
        <v>3293</v>
      </c>
      <c r="D105" s="8"/>
      <c r="E105" s="9" t="n">
        <v>42</v>
      </c>
      <c r="F105" s="9" t="n">
        <v>2</v>
      </c>
      <c r="G105" s="9" t="n">
        <v>0</v>
      </c>
      <c r="H105" s="7" t="n">
        <v>1.18</v>
      </c>
      <c r="I105" s="7" t="n">
        <v>0</v>
      </c>
      <c r="J105" s="7" t="n">
        <f aca="false">IF(F105=0,0,H105/F105)</f>
        <v>0.59</v>
      </c>
      <c r="K105" s="10" t="n">
        <f aca="false">IF(F105=0,0,G105/F105)</f>
        <v>0</v>
      </c>
      <c r="L105" s="10" t="str">
        <f aca="false">IF(I105=0,"",H105/I105)</f>
        <v/>
      </c>
      <c r="M105" s="10" t="n">
        <v>0</v>
      </c>
      <c r="N105" s="8" t="str">
        <f aca="false">IF(G105&gt;0,"Converting",IF(F105&gt;=Rules!$B$10,"Waste: 20+ clicks, 0 orders",IF(H105&gt;0,"Waste so far (under 20 clicks)","")))</f>
        <v>Waste so far (under 20 clicks)</v>
      </c>
      <c r="O105" s="8" t="s">
        <v>408</v>
      </c>
    </row>
    <row r="106" customFormat="false" ht="15" hidden="false" customHeight="false" outlineLevel="0" collapsed="false">
      <c r="A106" s="8" t="s">
        <v>478</v>
      </c>
      <c r="B106" s="8" t="s">
        <v>401</v>
      </c>
      <c r="C106" s="9" t="n">
        <v>591</v>
      </c>
      <c r="D106" s="8"/>
      <c r="E106" s="9" t="n">
        <v>9</v>
      </c>
      <c r="F106" s="9" t="n">
        <v>1</v>
      </c>
      <c r="G106" s="9" t="n">
        <v>0</v>
      </c>
      <c r="H106" s="7" t="n">
        <v>1.15</v>
      </c>
      <c r="I106" s="7" t="n">
        <v>0</v>
      </c>
      <c r="J106" s="7" t="n">
        <f aca="false">IF(F106=0,0,H106/F106)</f>
        <v>1.15</v>
      </c>
      <c r="K106" s="10" t="n">
        <f aca="false">IF(F106=0,0,G106/F106)</f>
        <v>0</v>
      </c>
      <c r="L106" s="10" t="str">
        <f aca="false">IF(I106=0,"",H106/I106)</f>
        <v/>
      </c>
      <c r="M106" s="10" t="n">
        <v>0</v>
      </c>
      <c r="N106" s="8" t="str">
        <f aca="false">IF(G106&gt;0,"Converting",IF(F106&gt;=Rules!$B$10,"Waste: 20+ clicks, 0 orders",IF(H106&gt;0,"Waste so far (under 20 clicks)","")))</f>
        <v>Waste so far (under 20 clicks)</v>
      </c>
      <c r="O106" s="8" t="s">
        <v>408</v>
      </c>
    </row>
    <row r="107" customFormat="false" ht="15" hidden="false" customHeight="false" outlineLevel="0" collapsed="false">
      <c r="A107" s="8" t="s">
        <v>479</v>
      </c>
      <c r="B107" s="8" t="s">
        <v>403</v>
      </c>
      <c r="C107" s="9" t="n">
        <v>6</v>
      </c>
      <c r="D107" s="8" t="n">
        <v>26</v>
      </c>
      <c r="E107" s="9" t="n">
        <v>1</v>
      </c>
      <c r="F107" s="9" t="n">
        <v>1</v>
      </c>
      <c r="G107" s="9" t="n">
        <v>0</v>
      </c>
      <c r="H107" s="7" t="n">
        <v>1.15</v>
      </c>
      <c r="I107" s="7" t="n">
        <v>0</v>
      </c>
      <c r="J107" s="7" t="n">
        <f aca="false">IF(F107=0,0,H107/F107)</f>
        <v>1.15</v>
      </c>
      <c r="K107" s="10" t="n">
        <f aca="false">IF(F107=0,0,G107/F107)</f>
        <v>0</v>
      </c>
      <c r="L107" s="10" t="str">
        <f aca="false">IF(I107=0,"",H107/I107)</f>
        <v/>
      </c>
      <c r="M107" s="10" t="n">
        <v>0</v>
      </c>
      <c r="N107" s="8" t="str">
        <f aca="false">IF(G107&gt;0,"Converting",IF(F107&gt;=Rules!$B$10,"Waste: 20+ clicks, 0 orders",IF(H107&gt;0,"Waste so far (under 20 clicks)","")))</f>
        <v>Waste so far (under 20 clicks)</v>
      </c>
      <c r="O107" s="8" t="s">
        <v>410</v>
      </c>
    </row>
    <row r="108" customFormat="false" ht="15" hidden="false" customHeight="false" outlineLevel="0" collapsed="false">
      <c r="A108" s="8" t="s">
        <v>480</v>
      </c>
      <c r="B108" s="8" t="s">
        <v>401</v>
      </c>
      <c r="C108" s="9" t="n">
        <v>22</v>
      </c>
      <c r="D108" s="8"/>
      <c r="E108" s="9" t="n">
        <v>5</v>
      </c>
      <c r="F108" s="9" t="n">
        <v>1</v>
      </c>
      <c r="G108" s="9" t="n">
        <v>0</v>
      </c>
      <c r="H108" s="7" t="n">
        <v>1.11</v>
      </c>
      <c r="I108" s="7" t="n">
        <v>0</v>
      </c>
      <c r="J108" s="7" t="n">
        <f aca="false">IF(F108=0,0,H108/F108)</f>
        <v>1.11</v>
      </c>
      <c r="K108" s="10" t="n">
        <f aca="false">IF(F108=0,0,G108/F108)</f>
        <v>0</v>
      </c>
      <c r="L108" s="10" t="str">
        <f aca="false">IF(I108=0,"",H108/I108)</f>
        <v/>
      </c>
      <c r="M108" s="10" t="n">
        <v>0</v>
      </c>
      <c r="N108" s="8" t="str">
        <f aca="false">IF(G108&gt;0,"Converting",IF(F108&gt;=Rules!$B$10,"Waste: 20+ clicks, 0 orders",IF(H108&gt;0,"Waste so far (under 20 clicks)","")))</f>
        <v>Waste so far (under 20 clicks)</v>
      </c>
      <c r="O108" s="8" t="s">
        <v>408</v>
      </c>
    </row>
    <row r="109" customFormat="false" ht="15" hidden="false" customHeight="false" outlineLevel="0" collapsed="false">
      <c r="A109" s="8" t="s">
        <v>481</v>
      </c>
      <c r="B109" s="8" t="s">
        <v>403</v>
      </c>
      <c r="C109" s="9" t="n">
        <v>7</v>
      </c>
      <c r="D109" s="8" t="n">
        <v>44</v>
      </c>
      <c r="E109" s="9" t="n">
        <v>1</v>
      </c>
      <c r="F109" s="9" t="n">
        <v>1</v>
      </c>
      <c r="G109" s="9" t="n">
        <v>0</v>
      </c>
      <c r="H109" s="7" t="n">
        <v>1.11</v>
      </c>
      <c r="I109" s="7" t="n">
        <v>0</v>
      </c>
      <c r="J109" s="7" t="n">
        <f aca="false">IF(F109=0,0,H109/F109)</f>
        <v>1.11</v>
      </c>
      <c r="K109" s="10" t="n">
        <f aca="false">IF(F109=0,0,G109/F109)</f>
        <v>0</v>
      </c>
      <c r="L109" s="10" t="str">
        <f aca="false">IF(I109=0,"",H109/I109)</f>
        <v/>
      </c>
      <c r="M109" s="10" t="n">
        <v>0</v>
      </c>
      <c r="N109" s="8" t="str">
        <f aca="false">IF(G109&gt;0,"Converting",IF(F109&gt;=Rules!$B$10,"Waste: 20+ clicks, 0 orders",IF(H109&gt;0,"Waste so far (under 20 clicks)","")))</f>
        <v>Waste so far (under 20 clicks)</v>
      </c>
      <c r="O109" s="8" t="s">
        <v>410</v>
      </c>
    </row>
    <row r="110" customFormat="false" ht="15" hidden="false" customHeight="false" outlineLevel="0" collapsed="false">
      <c r="A110" s="8" t="s">
        <v>482</v>
      </c>
      <c r="B110" s="8" t="s">
        <v>401</v>
      </c>
      <c r="C110" s="9" t="n">
        <v>28</v>
      </c>
      <c r="D110" s="8"/>
      <c r="E110" s="9" t="n">
        <v>2</v>
      </c>
      <c r="F110" s="9" t="n">
        <v>1</v>
      </c>
      <c r="G110" s="9" t="n">
        <v>0</v>
      </c>
      <c r="H110" s="7" t="n">
        <v>0.94</v>
      </c>
      <c r="I110" s="7" t="n">
        <v>0</v>
      </c>
      <c r="J110" s="7" t="n">
        <f aca="false">IF(F110=0,0,H110/F110)</f>
        <v>0.94</v>
      </c>
      <c r="K110" s="10" t="n">
        <f aca="false">IF(F110=0,0,G110/F110)</f>
        <v>0</v>
      </c>
      <c r="L110" s="10" t="str">
        <f aca="false">IF(I110=0,"",H110/I110)</f>
        <v/>
      </c>
      <c r="M110" s="10" t="n">
        <v>0</v>
      </c>
      <c r="N110" s="8" t="str">
        <f aca="false">IF(G110&gt;0,"Converting",IF(F110&gt;=Rules!$B$10,"Waste: 20+ clicks, 0 orders",IF(H110&gt;0,"Waste so far (under 20 clicks)","")))</f>
        <v>Waste so far (under 20 clicks)</v>
      </c>
      <c r="O110" s="8" t="s">
        <v>408</v>
      </c>
    </row>
    <row r="111" customFormat="false" ht="15" hidden="false" customHeight="false" outlineLevel="0" collapsed="false">
      <c r="A111" s="8" t="s">
        <v>483</v>
      </c>
      <c r="B111" s="8" t="s">
        <v>401</v>
      </c>
      <c r="C111" s="9" t="n">
        <v>11</v>
      </c>
      <c r="D111" s="8"/>
      <c r="E111" s="9" t="n">
        <v>3</v>
      </c>
      <c r="F111" s="9" t="n">
        <v>1</v>
      </c>
      <c r="G111" s="9" t="n">
        <v>0</v>
      </c>
      <c r="H111" s="7" t="n">
        <v>0.88</v>
      </c>
      <c r="I111" s="7" t="n">
        <v>0</v>
      </c>
      <c r="J111" s="7" t="n">
        <f aca="false">IF(F111=0,0,H111/F111)</f>
        <v>0.88</v>
      </c>
      <c r="K111" s="10" t="n">
        <f aca="false">IF(F111=0,0,G111/F111)</f>
        <v>0</v>
      </c>
      <c r="L111" s="10" t="str">
        <f aca="false">IF(I111=0,"",H111/I111)</f>
        <v/>
      </c>
      <c r="M111" s="10" t="n">
        <v>0</v>
      </c>
      <c r="N111" s="8" t="str">
        <f aca="false">IF(G111&gt;0,"Converting",IF(F111&gt;=Rules!$B$10,"Waste: 20+ clicks, 0 orders",IF(H111&gt;0,"Waste so far (under 20 clicks)","")))</f>
        <v>Waste so far (under 20 clicks)</v>
      </c>
      <c r="O111" s="8" t="s">
        <v>405</v>
      </c>
    </row>
    <row r="112" customFormat="false" ht="15" hidden="false" customHeight="false" outlineLevel="0" collapsed="false">
      <c r="A112" s="8" t="s">
        <v>484</v>
      </c>
      <c r="B112" s="8" t="s">
        <v>403</v>
      </c>
      <c r="C112" s="9"/>
      <c r="D112" s="8"/>
      <c r="E112" s="9" t="n">
        <v>4</v>
      </c>
      <c r="F112" s="9" t="n">
        <v>1</v>
      </c>
      <c r="G112" s="9" t="n">
        <v>0</v>
      </c>
      <c r="H112" s="7" t="n">
        <v>0.84</v>
      </c>
      <c r="I112" s="7" t="n">
        <v>0</v>
      </c>
      <c r="J112" s="7" t="n">
        <f aca="false">IF(F112=0,0,H112/F112)</f>
        <v>0.84</v>
      </c>
      <c r="K112" s="10" t="n">
        <f aca="false">IF(F112=0,0,G112/F112)</f>
        <v>0</v>
      </c>
      <c r="L112" s="10" t="str">
        <f aca="false">IF(I112=0,"",H112/I112)</f>
        <v/>
      </c>
      <c r="M112" s="10" t="n">
        <v>0.315789473684211</v>
      </c>
      <c r="N112" s="8" t="str">
        <f aca="false">IF(G112&gt;0,"Converting",IF(F112&gt;=Rules!$B$10,"Waste: 20+ clicks, 0 orders",IF(H112&gt;0,"Waste so far (under 20 clicks)","")))</f>
        <v>Waste so far (under 20 clicks)</v>
      </c>
      <c r="O112" s="8" t="s">
        <v>405</v>
      </c>
    </row>
    <row r="113" customFormat="false" ht="15" hidden="false" customHeight="false" outlineLevel="0" collapsed="false">
      <c r="A113" s="8" t="s">
        <v>485</v>
      </c>
      <c r="B113" s="8" t="s">
        <v>403</v>
      </c>
      <c r="C113" s="9" t="n">
        <v>965</v>
      </c>
      <c r="D113" s="8" t="n">
        <v>104</v>
      </c>
      <c r="E113" s="9" t="n">
        <v>17</v>
      </c>
      <c r="F113" s="9" t="n">
        <v>1</v>
      </c>
      <c r="G113" s="9" t="n">
        <v>0</v>
      </c>
      <c r="H113" s="7" t="n">
        <v>0.82</v>
      </c>
      <c r="I113" s="7" t="n">
        <v>0</v>
      </c>
      <c r="J113" s="7" t="n">
        <f aca="false">IF(F113=0,0,H113/F113)</f>
        <v>0.82</v>
      </c>
      <c r="K113" s="10" t="n">
        <f aca="false">IF(F113=0,0,G113/F113)</f>
        <v>0</v>
      </c>
      <c r="L113" s="10" t="str">
        <f aca="false">IF(I113=0,"",H113/I113)</f>
        <v/>
      </c>
      <c r="M113" s="10" t="n">
        <v>0</v>
      </c>
      <c r="N113" s="8" t="str">
        <f aca="false">IF(G113&gt;0,"Converting",IF(F113&gt;=Rules!$B$10,"Waste: 20+ clicks, 0 orders",IF(H113&gt;0,"Waste so far (under 20 clicks)","")))</f>
        <v>Waste so far (under 20 clicks)</v>
      </c>
      <c r="O113" s="8" t="s">
        <v>410</v>
      </c>
    </row>
    <row r="114" customFormat="false" ht="15" hidden="false" customHeight="false" outlineLevel="0" collapsed="false">
      <c r="A114" s="8" t="s">
        <v>486</v>
      </c>
      <c r="B114" s="8" t="s">
        <v>403</v>
      </c>
      <c r="C114" s="9"/>
      <c r="D114" s="8"/>
      <c r="E114" s="9" t="n">
        <v>13</v>
      </c>
      <c r="F114" s="9" t="n">
        <v>1</v>
      </c>
      <c r="G114" s="9" t="n">
        <v>0</v>
      </c>
      <c r="H114" s="7" t="n">
        <v>0.82</v>
      </c>
      <c r="I114" s="7" t="n">
        <v>0</v>
      </c>
      <c r="J114" s="7" t="n">
        <f aca="false">IF(F114=0,0,H114/F114)</f>
        <v>0.82</v>
      </c>
      <c r="K114" s="10" t="n">
        <f aca="false">IF(F114=0,0,G114/F114)</f>
        <v>0</v>
      </c>
      <c r="L114" s="10" t="str">
        <f aca="false">IF(I114=0,"",H114/I114)</f>
        <v/>
      </c>
      <c r="M114" s="10" t="n">
        <v>0</v>
      </c>
      <c r="N114" s="8" t="str">
        <f aca="false">IF(G114&gt;0,"Converting",IF(F114&gt;=Rules!$B$10,"Waste: 20+ clicks, 0 orders",IF(H114&gt;0,"Waste so far (under 20 clicks)","")))</f>
        <v>Waste so far (under 20 clicks)</v>
      </c>
      <c r="O114" s="8" t="s">
        <v>423</v>
      </c>
    </row>
    <row r="115" customFormat="false" ht="15" hidden="false" customHeight="false" outlineLevel="0" collapsed="false">
      <c r="A115" s="8" t="s">
        <v>487</v>
      </c>
      <c r="B115" s="8" t="s">
        <v>403</v>
      </c>
      <c r="C115" s="9" t="n">
        <v>118</v>
      </c>
      <c r="D115" s="8"/>
      <c r="E115" s="9" t="n">
        <v>3</v>
      </c>
      <c r="F115" s="9" t="n">
        <v>1</v>
      </c>
      <c r="G115" s="9" t="n">
        <v>0</v>
      </c>
      <c r="H115" s="7" t="n">
        <v>0.82</v>
      </c>
      <c r="I115" s="7" t="n">
        <v>0</v>
      </c>
      <c r="J115" s="7" t="n">
        <f aca="false">IF(F115=0,0,H115/F115)</f>
        <v>0.82</v>
      </c>
      <c r="K115" s="10" t="n">
        <f aca="false">IF(F115=0,0,G115/F115)</f>
        <v>0</v>
      </c>
      <c r="L115" s="10" t="str">
        <f aca="false">IF(I115=0,"",H115/I115)</f>
        <v/>
      </c>
      <c r="M115" s="10" t="n">
        <v>0</v>
      </c>
      <c r="N115" s="8" t="str">
        <f aca="false">IF(G115&gt;0,"Converting",IF(F115&gt;=Rules!$B$10,"Waste: 20+ clicks, 0 orders",IF(H115&gt;0,"Waste so far (under 20 clicks)","")))</f>
        <v>Waste so far (under 20 clicks)</v>
      </c>
      <c r="O115" s="8" t="s">
        <v>408</v>
      </c>
    </row>
    <row r="116" customFormat="false" ht="15" hidden="false" customHeight="false" outlineLevel="0" collapsed="false">
      <c r="A116" s="8" t="s">
        <v>488</v>
      </c>
      <c r="B116" s="8" t="s">
        <v>401</v>
      </c>
      <c r="C116" s="9" t="n">
        <v>297</v>
      </c>
      <c r="D116" s="8"/>
      <c r="E116" s="9" t="n">
        <v>5</v>
      </c>
      <c r="F116" s="9" t="n">
        <v>1</v>
      </c>
      <c r="G116" s="9" t="n">
        <v>0</v>
      </c>
      <c r="H116" s="7" t="n">
        <v>0.82</v>
      </c>
      <c r="I116" s="7" t="n">
        <v>0</v>
      </c>
      <c r="J116" s="7" t="n">
        <f aca="false">IF(F116=0,0,H116/F116)</f>
        <v>0.82</v>
      </c>
      <c r="K116" s="10" t="n">
        <f aca="false">IF(F116=0,0,G116/F116)</f>
        <v>0</v>
      </c>
      <c r="L116" s="10" t="str">
        <f aca="false">IF(I116=0,"",H116/I116)</f>
        <v/>
      </c>
      <c r="M116" s="10" t="n">
        <v>0</v>
      </c>
      <c r="N116" s="8" t="str">
        <f aca="false">IF(G116&gt;0,"Converting",IF(F116&gt;=Rules!$B$10,"Waste: 20+ clicks, 0 orders",IF(H116&gt;0,"Waste so far (under 20 clicks)","")))</f>
        <v>Waste so far (under 20 clicks)</v>
      </c>
      <c r="O116" s="8" t="s">
        <v>408</v>
      </c>
    </row>
    <row r="117" customFormat="false" ht="15" hidden="false" customHeight="false" outlineLevel="0" collapsed="false">
      <c r="A117" s="8" t="s">
        <v>489</v>
      </c>
      <c r="B117" s="8" t="s">
        <v>403</v>
      </c>
      <c r="C117" s="9" t="n">
        <v>492</v>
      </c>
      <c r="D117" s="8"/>
      <c r="E117" s="9" t="n">
        <v>8</v>
      </c>
      <c r="F117" s="9" t="n">
        <v>1</v>
      </c>
      <c r="G117" s="9" t="n">
        <v>0</v>
      </c>
      <c r="H117" s="7" t="n">
        <v>0.82</v>
      </c>
      <c r="I117" s="7" t="n">
        <v>0</v>
      </c>
      <c r="J117" s="7" t="n">
        <f aca="false">IF(F117=0,0,H117/F117)</f>
        <v>0.82</v>
      </c>
      <c r="K117" s="10" t="n">
        <f aca="false">IF(F117=0,0,G117/F117)</f>
        <v>0</v>
      </c>
      <c r="L117" s="10" t="str">
        <f aca="false">IF(I117=0,"",H117/I117)</f>
        <v/>
      </c>
      <c r="M117" s="10" t="n">
        <v>0</v>
      </c>
      <c r="N117" s="8" t="str">
        <f aca="false">IF(G117&gt;0,"Converting",IF(F117&gt;=Rules!$B$10,"Waste: 20+ clicks, 0 orders",IF(H117&gt;0,"Waste so far (under 20 clicks)","")))</f>
        <v>Waste so far (under 20 clicks)</v>
      </c>
      <c r="O117" s="8" t="s">
        <v>408</v>
      </c>
    </row>
    <row r="118" customFormat="false" ht="15" hidden="false" customHeight="false" outlineLevel="0" collapsed="false">
      <c r="A118" s="8" t="s">
        <v>490</v>
      </c>
      <c r="B118" s="8" t="s">
        <v>401</v>
      </c>
      <c r="C118" s="9" t="n">
        <v>83</v>
      </c>
      <c r="D118" s="8"/>
      <c r="E118" s="9" t="n">
        <v>1</v>
      </c>
      <c r="F118" s="9" t="n">
        <v>1</v>
      </c>
      <c r="G118" s="9" t="n">
        <v>0</v>
      </c>
      <c r="H118" s="7" t="n">
        <v>0.82</v>
      </c>
      <c r="I118" s="7" t="n">
        <v>0</v>
      </c>
      <c r="J118" s="7" t="n">
        <f aca="false">IF(F118=0,0,H118/F118)</f>
        <v>0.82</v>
      </c>
      <c r="K118" s="10" t="n">
        <f aca="false">IF(F118=0,0,G118/F118)</f>
        <v>0</v>
      </c>
      <c r="L118" s="10" t="str">
        <f aca="false">IF(I118=0,"",H118/I118)</f>
        <v/>
      </c>
      <c r="M118" s="10" t="n">
        <v>0</v>
      </c>
      <c r="N118" s="8" t="str">
        <f aca="false">IF(G118&gt;0,"Converting",IF(F118&gt;=Rules!$B$10,"Waste: 20+ clicks, 0 orders",IF(H118&gt;0,"Waste so far (under 20 clicks)","")))</f>
        <v>Waste so far (under 20 clicks)</v>
      </c>
      <c r="O118" s="8" t="s">
        <v>408</v>
      </c>
    </row>
    <row r="119" customFormat="false" ht="15" hidden="false" customHeight="false" outlineLevel="0" collapsed="false">
      <c r="A119" s="8" t="s">
        <v>491</v>
      </c>
      <c r="B119" s="8" t="s">
        <v>403</v>
      </c>
      <c r="C119" s="9" t="n">
        <v>28</v>
      </c>
      <c r="D119" s="8"/>
      <c r="E119" s="9" t="n">
        <v>2</v>
      </c>
      <c r="F119" s="9" t="n">
        <v>1</v>
      </c>
      <c r="G119" s="9" t="n">
        <v>0</v>
      </c>
      <c r="H119" s="7" t="n">
        <v>0.82</v>
      </c>
      <c r="I119" s="7" t="n">
        <v>0</v>
      </c>
      <c r="J119" s="7" t="n">
        <f aca="false">IF(F119=0,0,H119/F119)</f>
        <v>0.82</v>
      </c>
      <c r="K119" s="10" t="n">
        <f aca="false">IF(F119=0,0,G119/F119)</f>
        <v>0</v>
      </c>
      <c r="L119" s="10" t="str">
        <f aca="false">IF(I119=0,"",H119/I119)</f>
        <v/>
      </c>
      <c r="M119" s="10" t="n">
        <v>0</v>
      </c>
      <c r="N119" s="8" t="str">
        <f aca="false">IF(G119&gt;0,"Converting",IF(F119&gt;=Rules!$B$10,"Waste: 20+ clicks, 0 orders",IF(H119&gt;0,"Waste so far (under 20 clicks)","")))</f>
        <v>Waste so far (under 20 clicks)</v>
      </c>
      <c r="O119" s="8" t="s">
        <v>410</v>
      </c>
    </row>
    <row r="120" customFormat="false" ht="15" hidden="false" customHeight="false" outlineLevel="0" collapsed="false">
      <c r="A120" s="8" t="s">
        <v>492</v>
      </c>
      <c r="B120" s="8" t="s">
        <v>401</v>
      </c>
      <c r="C120" s="9"/>
      <c r="D120" s="8"/>
      <c r="E120" s="9" t="n">
        <v>7</v>
      </c>
      <c r="F120" s="9" t="n">
        <v>1</v>
      </c>
      <c r="G120" s="9" t="n">
        <v>0</v>
      </c>
      <c r="H120" s="7" t="n">
        <v>0.82</v>
      </c>
      <c r="I120" s="7" t="n">
        <v>0</v>
      </c>
      <c r="J120" s="7" t="n">
        <f aca="false">IF(F120=0,0,H120/F120)</f>
        <v>0.82</v>
      </c>
      <c r="K120" s="10" t="n">
        <f aca="false">IF(F120=0,0,G120/F120)</f>
        <v>0</v>
      </c>
      <c r="L120" s="10" t="str">
        <f aca="false">IF(I120=0,"",H120/I120)</f>
        <v/>
      </c>
      <c r="M120" s="10" t="n">
        <v>0</v>
      </c>
      <c r="N120" s="8" t="str">
        <f aca="false">IF(G120&gt;0,"Converting",IF(F120&gt;=Rules!$B$10,"Waste: 20+ clicks, 0 orders",IF(H120&gt;0,"Waste so far (under 20 clicks)","")))</f>
        <v>Waste so far (under 20 clicks)</v>
      </c>
      <c r="O120" s="8" t="s">
        <v>408</v>
      </c>
    </row>
    <row r="121" customFormat="false" ht="15" hidden="false" customHeight="false" outlineLevel="0" collapsed="false">
      <c r="A121" s="8" t="s">
        <v>493</v>
      </c>
      <c r="B121" s="8" t="s">
        <v>401</v>
      </c>
      <c r="C121" s="9"/>
      <c r="D121" s="8"/>
      <c r="E121" s="9" t="n">
        <v>1</v>
      </c>
      <c r="F121" s="9" t="n">
        <v>1</v>
      </c>
      <c r="G121" s="9" t="n">
        <v>0</v>
      </c>
      <c r="H121" s="7" t="n">
        <v>0.82</v>
      </c>
      <c r="I121" s="7" t="n">
        <v>0</v>
      </c>
      <c r="J121" s="7" t="n">
        <f aca="false">IF(F121=0,0,H121/F121)</f>
        <v>0.82</v>
      </c>
      <c r="K121" s="10" t="n">
        <f aca="false">IF(F121=0,0,G121/F121)</f>
        <v>0</v>
      </c>
      <c r="L121" s="10" t="str">
        <f aca="false">IF(I121=0,"",H121/I121)</f>
        <v/>
      </c>
      <c r="M121" s="10" t="n">
        <v>0</v>
      </c>
      <c r="N121" s="8" t="str">
        <f aca="false">IF(G121&gt;0,"Converting",IF(F121&gt;=Rules!$B$10,"Waste: 20+ clicks, 0 orders",IF(H121&gt;0,"Waste so far (under 20 clicks)","")))</f>
        <v>Waste so far (under 20 clicks)</v>
      </c>
      <c r="O121" s="8" t="s">
        <v>410</v>
      </c>
    </row>
    <row r="122" customFormat="false" ht="15" hidden="false" customHeight="false" outlineLevel="0" collapsed="false">
      <c r="A122" s="8" t="s">
        <v>494</v>
      </c>
      <c r="B122" s="8" t="s">
        <v>401</v>
      </c>
      <c r="C122" s="9" t="n">
        <v>63</v>
      </c>
      <c r="D122" s="8"/>
      <c r="E122" s="9" t="n">
        <v>7</v>
      </c>
      <c r="F122" s="9" t="n">
        <v>1</v>
      </c>
      <c r="G122" s="9" t="n">
        <v>0</v>
      </c>
      <c r="H122" s="7" t="n">
        <v>0.77</v>
      </c>
      <c r="I122" s="7" t="n">
        <v>0</v>
      </c>
      <c r="J122" s="7" t="n">
        <f aca="false">IF(F122=0,0,H122/F122)</f>
        <v>0.77</v>
      </c>
      <c r="K122" s="10" t="n">
        <f aca="false">IF(F122=0,0,G122/F122)</f>
        <v>0</v>
      </c>
      <c r="L122" s="10" t="str">
        <f aca="false">IF(I122=0,"",H122/I122)</f>
        <v/>
      </c>
      <c r="M122" s="10" t="n">
        <v>0</v>
      </c>
      <c r="N122" s="8" t="str">
        <f aca="false">IF(G122&gt;0,"Converting",IF(F122&gt;=Rules!$B$10,"Waste: 20+ clicks, 0 orders",IF(H122&gt;0,"Waste so far (under 20 clicks)","")))</f>
        <v>Waste so far (under 20 clicks)</v>
      </c>
      <c r="O122" s="8" t="s">
        <v>405</v>
      </c>
    </row>
    <row r="123" customFormat="false" ht="15" hidden="false" customHeight="false" outlineLevel="0" collapsed="false">
      <c r="A123" s="8" t="s">
        <v>495</v>
      </c>
      <c r="B123" s="8" t="s">
        <v>403</v>
      </c>
      <c r="C123" s="9" t="n">
        <v>7</v>
      </c>
      <c r="D123" s="8"/>
      <c r="E123" s="9" t="n">
        <v>2</v>
      </c>
      <c r="F123" s="9" t="n">
        <v>1</v>
      </c>
      <c r="G123" s="9" t="n">
        <v>0</v>
      </c>
      <c r="H123" s="7" t="n">
        <v>0.75</v>
      </c>
      <c r="I123" s="7" t="n">
        <v>0</v>
      </c>
      <c r="J123" s="7" t="n">
        <f aca="false">IF(F123=0,0,H123/F123)</f>
        <v>0.75</v>
      </c>
      <c r="K123" s="10" t="n">
        <f aca="false">IF(F123=0,0,G123/F123)</f>
        <v>0</v>
      </c>
      <c r="L123" s="10" t="str">
        <f aca="false">IF(I123=0,"",H123/I123)</f>
        <v/>
      </c>
      <c r="M123" s="10" t="n">
        <v>0.966133584195673</v>
      </c>
      <c r="N123" s="8" t="str">
        <f aca="false">IF(G123&gt;0,"Converting",IF(F123&gt;=Rules!$B$10,"Waste: 20+ clicks, 0 orders",IF(H123&gt;0,"Waste so far (under 20 clicks)","")))</f>
        <v>Waste so far (under 20 clicks)</v>
      </c>
      <c r="O123" s="8" t="s">
        <v>410</v>
      </c>
    </row>
    <row r="124" customFormat="false" ht="15" hidden="false" customHeight="false" outlineLevel="0" collapsed="false">
      <c r="A124" s="8" t="s">
        <v>496</v>
      </c>
      <c r="B124" s="8" t="s">
        <v>401</v>
      </c>
      <c r="C124" s="9" t="n">
        <v>17</v>
      </c>
      <c r="D124" s="8"/>
      <c r="E124" s="9" t="n">
        <v>4</v>
      </c>
      <c r="F124" s="9" t="n">
        <v>1</v>
      </c>
      <c r="G124" s="9" t="n">
        <v>0</v>
      </c>
      <c r="H124" s="7" t="n">
        <v>0.74</v>
      </c>
      <c r="I124" s="7" t="n">
        <v>0</v>
      </c>
      <c r="J124" s="7" t="n">
        <f aca="false">IF(F124=0,0,H124/F124)</f>
        <v>0.74</v>
      </c>
      <c r="K124" s="10" t="n">
        <f aca="false">IF(F124=0,0,G124/F124)</f>
        <v>0</v>
      </c>
      <c r="L124" s="10" t="str">
        <f aca="false">IF(I124=0,"",H124/I124)</f>
        <v/>
      </c>
      <c r="M124" s="10" t="n">
        <v>0</v>
      </c>
      <c r="N124" s="8" t="str">
        <f aca="false">IF(G124&gt;0,"Converting",IF(F124&gt;=Rules!$B$10,"Waste: 20+ clicks, 0 orders",IF(H124&gt;0,"Waste so far (under 20 clicks)","")))</f>
        <v>Waste so far (under 20 clicks)</v>
      </c>
      <c r="O124" s="8" t="s">
        <v>410</v>
      </c>
    </row>
    <row r="125" customFormat="false" ht="15" hidden="false" customHeight="false" outlineLevel="0" collapsed="false">
      <c r="A125" s="8" t="s">
        <v>497</v>
      </c>
      <c r="B125" s="8" t="s">
        <v>401</v>
      </c>
      <c r="C125" s="9" t="n">
        <v>8</v>
      </c>
      <c r="D125" s="8"/>
      <c r="E125" s="9" t="n">
        <v>1</v>
      </c>
      <c r="F125" s="9" t="n">
        <v>1</v>
      </c>
      <c r="G125" s="9" t="n">
        <v>0</v>
      </c>
      <c r="H125" s="7" t="n">
        <v>0.72</v>
      </c>
      <c r="I125" s="7" t="n">
        <v>0</v>
      </c>
      <c r="J125" s="7" t="n">
        <f aca="false">IF(F125=0,0,H125/F125)</f>
        <v>0.72</v>
      </c>
      <c r="K125" s="10" t="n">
        <f aca="false">IF(F125=0,0,G125/F125)</f>
        <v>0</v>
      </c>
      <c r="L125" s="10" t="str">
        <f aca="false">IF(I125=0,"",H125/I125)</f>
        <v/>
      </c>
      <c r="M125" s="10" t="n">
        <v>0</v>
      </c>
      <c r="N125" s="8" t="str">
        <f aca="false">IF(G125&gt;0,"Converting",IF(F125&gt;=Rules!$B$10,"Waste: 20+ clicks, 0 orders",IF(H125&gt;0,"Waste so far (under 20 clicks)","")))</f>
        <v>Waste so far (under 20 clicks)</v>
      </c>
      <c r="O125" s="8" t="s">
        <v>405</v>
      </c>
    </row>
    <row r="126" customFormat="false" ht="15" hidden="false" customHeight="false" outlineLevel="0" collapsed="false">
      <c r="A126" s="8" t="s">
        <v>498</v>
      </c>
      <c r="B126" s="8" t="s">
        <v>403</v>
      </c>
      <c r="C126" s="9" t="n">
        <v>6</v>
      </c>
      <c r="D126" s="8"/>
      <c r="E126" s="9" t="n">
        <v>2</v>
      </c>
      <c r="F126" s="9" t="n">
        <v>1</v>
      </c>
      <c r="G126" s="9" t="n">
        <v>0</v>
      </c>
      <c r="H126" s="7" t="n">
        <v>0.72</v>
      </c>
      <c r="I126" s="7" t="n">
        <v>0</v>
      </c>
      <c r="J126" s="7" t="n">
        <f aca="false">IF(F126=0,0,H126/F126)</f>
        <v>0.72</v>
      </c>
      <c r="K126" s="10" t="n">
        <f aca="false">IF(F126=0,0,G126/F126)</f>
        <v>0</v>
      </c>
      <c r="L126" s="10" t="str">
        <f aca="false">IF(I126=0,"",H126/I126)</f>
        <v/>
      </c>
      <c r="M126" s="10" t="n">
        <v>0</v>
      </c>
      <c r="N126" s="8" t="str">
        <f aca="false">IF(G126&gt;0,"Converting",IF(F126&gt;=Rules!$B$10,"Waste: 20+ clicks, 0 orders",IF(H126&gt;0,"Waste so far (under 20 clicks)","")))</f>
        <v>Waste so far (under 20 clicks)</v>
      </c>
      <c r="O126" s="8" t="s">
        <v>410</v>
      </c>
    </row>
    <row r="127" customFormat="false" ht="15" hidden="false" customHeight="false" outlineLevel="0" collapsed="false">
      <c r="A127" s="8" t="s">
        <v>499</v>
      </c>
      <c r="B127" s="8" t="s">
        <v>401</v>
      </c>
      <c r="C127" s="9" t="n">
        <v>23</v>
      </c>
      <c r="D127" s="8"/>
      <c r="E127" s="9" t="n">
        <v>12</v>
      </c>
      <c r="F127" s="9" t="n">
        <v>1</v>
      </c>
      <c r="G127" s="9" t="n">
        <v>0</v>
      </c>
      <c r="H127" s="7" t="n">
        <v>0.71</v>
      </c>
      <c r="I127" s="7" t="n">
        <v>0</v>
      </c>
      <c r="J127" s="7" t="n">
        <f aca="false">IF(F127=0,0,H127/F127)</f>
        <v>0.71</v>
      </c>
      <c r="K127" s="10" t="n">
        <f aca="false">IF(F127=0,0,G127/F127)</f>
        <v>0</v>
      </c>
      <c r="L127" s="10" t="str">
        <f aca="false">IF(I127=0,"",H127/I127)</f>
        <v/>
      </c>
      <c r="M127" s="10" t="n">
        <v>0</v>
      </c>
      <c r="N127" s="8" t="str">
        <f aca="false">IF(G127&gt;0,"Converting",IF(F127&gt;=Rules!$B$10,"Waste: 20+ clicks, 0 orders",IF(H127&gt;0,"Waste so far (under 20 clicks)","")))</f>
        <v>Waste so far (under 20 clicks)</v>
      </c>
      <c r="O127" s="8" t="s">
        <v>410</v>
      </c>
    </row>
    <row r="128" customFormat="false" ht="15" hidden="false" customHeight="false" outlineLevel="0" collapsed="false">
      <c r="A128" s="8" t="s">
        <v>500</v>
      </c>
      <c r="B128" s="8" t="s">
        <v>403</v>
      </c>
      <c r="C128" s="9" t="n">
        <v>6113</v>
      </c>
      <c r="D128" s="8"/>
      <c r="E128" s="9" t="n">
        <v>15</v>
      </c>
      <c r="F128" s="9" t="n">
        <v>1</v>
      </c>
      <c r="G128" s="9" t="n">
        <v>0</v>
      </c>
      <c r="H128" s="7" t="n">
        <v>0.59</v>
      </c>
      <c r="I128" s="7" t="n">
        <v>0</v>
      </c>
      <c r="J128" s="7" t="n">
        <f aca="false">IF(F128=0,0,H128/F128)</f>
        <v>0.59</v>
      </c>
      <c r="K128" s="10" t="n">
        <f aca="false">IF(F128=0,0,G128/F128)</f>
        <v>0</v>
      </c>
      <c r="L128" s="10" t="str">
        <f aca="false">IF(I128=0,"",H128/I128)</f>
        <v/>
      </c>
      <c r="M128" s="10" t="n">
        <v>0</v>
      </c>
      <c r="N128" s="8" t="str">
        <f aca="false">IF(G128&gt;0,"Converting",IF(F128&gt;=Rules!$B$10,"Waste: 20+ clicks, 0 orders",IF(H128&gt;0,"Waste so far (under 20 clicks)","")))</f>
        <v>Waste so far (under 20 clicks)</v>
      </c>
      <c r="O128" s="8" t="s">
        <v>408</v>
      </c>
    </row>
    <row r="129" customFormat="false" ht="15" hidden="false" customHeight="false" outlineLevel="0" collapsed="false">
      <c r="A129" s="8" t="s">
        <v>285</v>
      </c>
      <c r="B129" s="8" t="s">
        <v>412</v>
      </c>
      <c r="C129" s="9"/>
      <c r="D129" s="8"/>
      <c r="E129" s="9" t="n">
        <v>5</v>
      </c>
      <c r="F129" s="9" t="n">
        <v>1</v>
      </c>
      <c r="G129" s="9" t="n">
        <v>0</v>
      </c>
      <c r="H129" s="7" t="n">
        <v>0.59</v>
      </c>
      <c r="I129" s="7" t="n">
        <v>0</v>
      </c>
      <c r="J129" s="7" t="n">
        <f aca="false">IF(F129=0,0,H129/F129)</f>
        <v>0.59</v>
      </c>
      <c r="K129" s="10" t="n">
        <f aca="false">IF(F129=0,0,G129/F129)</f>
        <v>0</v>
      </c>
      <c r="L129" s="10" t="str">
        <f aca="false">IF(I129=0,"",H129/I129)</f>
        <v/>
      </c>
      <c r="M129" s="10" t="n">
        <v>0</v>
      </c>
      <c r="N129" s="8" t="str">
        <f aca="false">IF(G129&gt;0,"Converting",IF(F129&gt;=Rules!$B$10,"Waste: 20+ clicks, 0 orders",IF(H129&gt;0,"Waste so far (under 20 clicks)","")))</f>
        <v>Waste so far (under 20 clicks)</v>
      </c>
      <c r="O129" s="8" t="s">
        <v>413</v>
      </c>
    </row>
    <row r="130" customFormat="false" ht="15" hidden="false" customHeight="false" outlineLevel="0" collapsed="false">
      <c r="A130" s="8" t="s">
        <v>501</v>
      </c>
      <c r="B130" s="8" t="s">
        <v>403</v>
      </c>
      <c r="C130" s="9" t="n">
        <v>263</v>
      </c>
      <c r="D130" s="8"/>
      <c r="E130" s="9" t="n">
        <v>2</v>
      </c>
      <c r="F130" s="9" t="n">
        <v>1</v>
      </c>
      <c r="G130" s="9" t="n">
        <v>0</v>
      </c>
      <c r="H130" s="7" t="n">
        <v>0.59</v>
      </c>
      <c r="I130" s="7" t="n">
        <v>0</v>
      </c>
      <c r="J130" s="7" t="n">
        <f aca="false">IF(F130=0,0,H130/F130)</f>
        <v>0.59</v>
      </c>
      <c r="K130" s="10" t="n">
        <f aca="false">IF(F130=0,0,G130/F130)</f>
        <v>0</v>
      </c>
      <c r="L130" s="10" t="str">
        <f aca="false">IF(I130=0,"",H130/I130)</f>
        <v/>
      </c>
      <c r="M130" s="10" t="n">
        <v>0</v>
      </c>
      <c r="N130" s="8" t="str">
        <f aca="false">IF(G130&gt;0,"Converting",IF(F130&gt;=Rules!$B$10,"Waste: 20+ clicks, 0 orders",IF(H130&gt;0,"Waste so far (under 20 clicks)","")))</f>
        <v>Waste so far (under 20 clicks)</v>
      </c>
      <c r="O130" s="8" t="s">
        <v>408</v>
      </c>
    </row>
    <row r="131" customFormat="false" ht="15" hidden="false" customHeight="false" outlineLevel="0" collapsed="false">
      <c r="A131" s="8" t="s">
        <v>502</v>
      </c>
      <c r="B131" s="8" t="s">
        <v>403</v>
      </c>
      <c r="C131" s="9" t="n">
        <v>25</v>
      </c>
      <c r="D131" s="8"/>
      <c r="E131" s="9" t="n">
        <v>1</v>
      </c>
      <c r="F131" s="9" t="n">
        <v>1</v>
      </c>
      <c r="G131" s="9" t="n">
        <v>0</v>
      </c>
      <c r="H131" s="7" t="n">
        <v>0.59</v>
      </c>
      <c r="I131" s="7" t="n">
        <v>0</v>
      </c>
      <c r="J131" s="7" t="n">
        <f aca="false">IF(F131=0,0,H131/F131)</f>
        <v>0.59</v>
      </c>
      <c r="K131" s="10" t="n">
        <f aca="false">IF(F131=0,0,G131/F131)</f>
        <v>0</v>
      </c>
      <c r="L131" s="10" t="str">
        <f aca="false">IF(I131=0,"",H131/I131)</f>
        <v/>
      </c>
      <c r="M131" s="10" t="n">
        <v>0</v>
      </c>
      <c r="N131" s="8" t="str">
        <f aca="false">IF(G131&gt;0,"Converting",IF(F131&gt;=Rules!$B$10,"Waste: 20+ clicks, 0 orders",IF(H131&gt;0,"Waste so far (under 20 clicks)","")))</f>
        <v>Waste so far (under 20 clicks)</v>
      </c>
      <c r="O131" s="8" t="s">
        <v>408</v>
      </c>
    </row>
    <row r="132" customFormat="false" ht="15" hidden="false" customHeight="false" outlineLevel="0" collapsed="false">
      <c r="A132" s="8" t="s">
        <v>503</v>
      </c>
      <c r="B132" s="8" t="s">
        <v>401</v>
      </c>
      <c r="C132" s="9"/>
      <c r="D132" s="8"/>
      <c r="E132" s="9" t="n">
        <v>5</v>
      </c>
      <c r="F132" s="9" t="n">
        <v>1</v>
      </c>
      <c r="G132" s="9" t="n">
        <v>0</v>
      </c>
      <c r="H132" s="7" t="n">
        <v>0.56</v>
      </c>
      <c r="I132" s="7" t="n">
        <v>0</v>
      </c>
      <c r="J132" s="7" t="n">
        <f aca="false">IF(F132=0,0,H132/F132)</f>
        <v>0.56</v>
      </c>
      <c r="K132" s="10" t="n">
        <f aca="false">IF(F132=0,0,G132/F132)</f>
        <v>0</v>
      </c>
      <c r="L132" s="10" t="str">
        <f aca="false">IF(I132=0,"",H132/I132)</f>
        <v/>
      </c>
      <c r="M132" s="10" t="n">
        <v>0</v>
      </c>
      <c r="N132" s="8" t="str">
        <f aca="false">IF(G132&gt;0,"Converting",IF(F132&gt;=Rules!$B$10,"Waste: 20+ clicks, 0 orders",IF(H132&gt;0,"Waste so far (under 20 clicks)","")))</f>
        <v>Waste so far (under 20 clicks)</v>
      </c>
      <c r="O132" s="8" t="s">
        <v>410</v>
      </c>
    </row>
    <row r="133" customFormat="false" ht="15" hidden="false" customHeight="false" outlineLevel="0" collapsed="false">
      <c r="A133" s="8" t="s">
        <v>504</v>
      </c>
      <c r="B133" s="8" t="s">
        <v>401</v>
      </c>
      <c r="C133" s="9"/>
      <c r="D133" s="8"/>
      <c r="E133" s="9" t="n">
        <v>10</v>
      </c>
      <c r="F133" s="9" t="n">
        <v>1</v>
      </c>
      <c r="G133" s="9" t="n">
        <v>0</v>
      </c>
      <c r="H133" s="7" t="n">
        <v>0.56</v>
      </c>
      <c r="I133" s="7" t="n">
        <v>0</v>
      </c>
      <c r="J133" s="7" t="n">
        <f aca="false">IF(F133=0,0,H133/F133)</f>
        <v>0.56</v>
      </c>
      <c r="K133" s="10" t="n">
        <f aca="false">IF(F133=0,0,G133/F133)</f>
        <v>0</v>
      </c>
      <c r="L133" s="10" t="str">
        <f aca="false">IF(I133=0,"",H133/I133)</f>
        <v/>
      </c>
      <c r="M133" s="10" t="n">
        <v>0</v>
      </c>
      <c r="N133" s="8" t="str">
        <f aca="false">IF(G133&gt;0,"Converting",IF(F133&gt;=Rules!$B$10,"Waste: 20+ clicks, 0 orders",IF(H133&gt;0,"Waste so far (under 20 clicks)","")))</f>
        <v>Waste so far (under 20 clicks)</v>
      </c>
      <c r="O133" s="8" t="s">
        <v>408</v>
      </c>
    </row>
    <row r="134" customFormat="false" ht="15" hidden="false" customHeight="false" outlineLevel="0" collapsed="false">
      <c r="A134" s="8" t="s">
        <v>505</v>
      </c>
      <c r="B134" s="8"/>
      <c r="C134" s="9"/>
      <c r="D134" s="8"/>
      <c r="E134" s="9" t="n">
        <v>4</v>
      </c>
      <c r="F134" s="9" t="n">
        <v>1</v>
      </c>
      <c r="G134" s="9" t="n">
        <v>0</v>
      </c>
      <c r="H134" s="7" t="n">
        <v>0.56</v>
      </c>
      <c r="I134" s="7" t="n">
        <v>0</v>
      </c>
      <c r="J134" s="7" t="n">
        <f aca="false">IF(F134=0,0,H134/F134)</f>
        <v>0.56</v>
      </c>
      <c r="K134" s="10" t="n">
        <f aca="false">IF(F134=0,0,G134/F134)</f>
        <v>0</v>
      </c>
      <c r="L134" s="10" t="str">
        <f aca="false">IF(I134=0,"",H134/I134)</f>
        <v/>
      </c>
      <c r="M134" s="10" t="n">
        <v>0</v>
      </c>
      <c r="N134" s="8" t="str">
        <f aca="false">IF(G134&gt;0,"Converting",IF(F134&gt;=Rules!$B$10,"Waste: 20+ clicks, 0 orders",IF(H134&gt;0,"Waste so far (under 20 clicks)","")))</f>
        <v>Waste so far (under 20 clicks)</v>
      </c>
      <c r="O134" s="8" t="s">
        <v>408</v>
      </c>
    </row>
    <row r="135" customFormat="false" ht="15" hidden="false" customHeight="false" outlineLevel="0" collapsed="false">
      <c r="A135" s="8" t="s">
        <v>287</v>
      </c>
      <c r="B135" s="8" t="s">
        <v>403</v>
      </c>
      <c r="C135" s="9" t="n">
        <v>2</v>
      </c>
      <c r="D135" s="8" t="n">
        <v>58</v>
      </c>
      <c r="E135" s="9" t="n">
        <v>1</v>
      </c>
      <c r="F135" s="9" t="n">
        <v>1</v>
      </c>
      <c r="G135" s="9" t="n">
        <v>0</v>
      </c>
      <c r="H135" s="7" t="n">
        <v>0.5</v>
      </c>
      <c r="I135" s="7" t="n">
        <v>0</v>
      </c>
      <c r="J135" s="7" t="n">
        <f aca="false">IF(F135=0,0,H135/F135)</f>
        <v>0.5</v>
      </c>
      <c r="K135" s="10" t="n">
        <f aca="false">IF(F135=0,0,G135/F135)</f>
        <v>0</v>
      </c>
      <c r="L135" s="10" t="str">
        <f aca="false">IF(I135=0,"",H135/I135)</f>
        <v/>
      </c>
      <c r="M135" s="10" t="n">
        <v>0</v>
      </c>
      <c r="N135" s="8" t="str">
        <f aca="false">IF(G135&gt;0,"Converting",IF(F135&gt;=Rules!$B$10,"Waste: 20+ clicks, 0 orders",IF(H135&gt;0,"Waste so far (under 20 clicks)","")))</f>
        <v>Waste so far (under 20 clicks)</v>
      </c>
      <c r="O135" s="8" t="s">
        <v>408</v>
      </c>
    </row>
    <row r="136" customFormat="false" ht="15" hidden="false" customHeight="false" outlineLevel="0" collapsed="false">
      <c r="A136" s="8" t="s">
        <v>506</v>
      </c>
      <c r="B136" s="8" t="s">
        <v>401</v>
      </c>
      <c r="C136" s="9" t="n">
        <v>2453</v>
      </c>
      <c r="D136" s="8"/>
      <c r="E136" s="9" t="n">
        <v>14</v>
      </c>
      <c r="F136" s="9" t="n">
        <v>1</v>
      </c>
      <c r="G136" s="9" t="n">
        <v>0</v>
      </c>
      <c r="H136" s="7" t="n">
        <v>0.47</v>
      </c>
      <c r="I136" s="7" t="n">
        <v>0</v>
      </c>
      <c r="J136" s="7" t="n">
        <f aca="false">IF(F136=0,0,H136/F136)</f>
        <v>0.47</v>
      </c>
      <c r="K136" s="10" t="n">
        <f aca="false">IF(F136=0,0,G136/F136)</f>
        <v>0</v>
      </c>
      <c r="L136" s="10" t="str">
        <f aca="false">IF(I136=0,"",H136/I136)</f>
        <v/>
      </c>
      <c r="M136" s="10" t="n">
        <v>0</v>
      </c>
      <c r="N136" s="8" t="str">
        <f aca="false">IF(G136&gt;0,"Converting",IF(F136&gt;=Rules!$B$10,"Waste: 20+ clicks, 0 orders",IF(H136&gt;0,"Waste so far (under 20 clicks)","")))</f>
        <v>Waste so far (under 20 clicks)</v>
      </c>
      <c r="O136" s="8" t="s">
        <v>408</v>
      </c>
    </row>
    <row r="137" customFormat="false" ht="15" hidden="false" customHeight="false" outlineLevel="0" collapsed="false">
      <c r="A137" s="8" t="s">
        <v>507</v>
      </c>
      <c r="B137" s="8" t="s">
        <v>407</v>
      </c>
      <c r="C137" s="9" t="n">
        <v>239</v>
      </c>
      <c r="D137" s="8"/>
      <c r="E137" s="9" t="n">
        <v>11</v>
      </c>
      <c r="F137" s="9" t="n">
        <v>1</v>
      </c>
      <c r="G137" s="9" t="n">
        <v>0</v>
      </c>
      <c r="H137" s="7" t="n">
        <v>0.45</v>
      </c>
      <c r="I137" s="7" t="n">
        <v>0</v>
      </c>
      <c r="J137" s="7" t="n">
        <f aca="false">IF(F137=0,0,H137/F137)</f>
        <v>0.45</v>
      </c>
      <c r="K137" s="10" t="n">
        <f aca="false">IF(F137=0,0,G137/F137)</f>
        <v>0</v>
      </c>
      <c r="L137" s="10" t="str">
        <f aca="false">IF(I137=0,"",H137/I137)</f>
        <v/>
      </c>
      <c r="M137" s="10" t="n">
        <v>0</v>
      </c>
      <c r="N137" s="8" t="str">
        <f aca="false">IF(G137&gt;0,"Converting",IF(F137&gt;=Rules!$B$10,"Waste: 20+ clicks, 0 orders",IF(H137&gt;0,"Waste so far (under 20 clicks)","")))</f>
        <v>Waste so far (under 20 clicks)</v>
      </c>
      <c r="O137" s="8" t="s">
        <v>408</v>
      </c>
    </row>
    <row r="138" customFormat="false" ht="15" hidden="false" customHeight="false" outlineLevel="0" collapsed="false">
      <c r="A138" s="13" t="s">
        <v>97</v>
      </c>
      <c r="B138" s="13"/>
      <c r="C138" s="14"/>
      <c r="D138" s="13"/>
      <c r="E138" s="14" t="n">
        <f aca="false">SUM(E5:E137)</f>
        <v>145065</v>
      </c>
      <c r="F138" s="14" t="n">
        <f aca="false">SUM(F5:F137)</f>
        <v>3089</v>
      </c>
      <c r="G138" s="14" t="n">
        <f aca="false">SUM(G5:G137)</f>
        <v>34</v>
      </c>
      <c r="H138" s="15" t="n">
        <f aca="false">SUM(H5:H137)</f>
        <v>1643.36</v>
      </c>
      <c r="I138" s="15" t="n">
        <f aca="false">SUM(I5:I137)</f>
        <v>1072.65</v>
      </c>
      <c r="J138" s="15" t="n">
        <f aca="false">IF(F138=0,0,H138/F138)</f>
        <v>0.532003884752347</v>
      </c>
      <c r="K138" s="36" t="n">
        <f aca="false">IF(F138=0,0,G138/F138)</f>
        <v>0.0110067983166073</v>
      </c>
      <c r="L138" s="36" t="n">
        <f aca="false">IF(I138=0,"",H138/I138)</f>
        <v>1.5320561226868</v>
      </c>
      <c r="M138" s="36"/>
      <c r="N138" s="13"/>
      <c r="O138" s="13"/>
    </row>
    <row r="140" customFormat="false" ht="15" hidden="false" customHeight="false" outlineLevel="0" collapsed="false">
      <c r="A140" s="3" t="s">
        <v>508</v>
      </c>
    </row>
    <row r="141" customFormat="false" ht="15" hidden="false" customHeight="false" outlineLevel="0" collapsed="false">
      <c r="A141" s="8" t="s">
        <v>509</v>
      </c>
      <c r="B141" s="29" t="n">
        <f aca="false">SUMIFS(H5:H137,G5:G137,0)</f>
        <v>733.15</v>
      </c>
    </row>
    <row r="142" customFormat="false" ht="15" hidden="false" customHeight="false" outlineLevel="0" collapsed="false">
      <c r="A142" s="8" t="s">
        <v>28</v>
      </c>
      <c r="B142" s="30" t="n">
        <f aca="false">IF(H138=0,0,B141/H138)</f>
        <v>0.44612866322656</v>
      </c>
    </row>
    <row r="143" customFormat="false" ht="15" hidden="false" customHeight="false" outlineLevel="0" collapsed="false">
      <c r="A143" s="8" t="s">
        <v>510</v>
      </c>
      <c r="B143" s="37" t="n">
        <f aca="false">COUNTIFS(G5:G137,0,H5:H137,"&gt;0")</f>
        <v>117</v>
      </c>
    </row>
    <row r="144" customFormat="false" ht="15" hidden="false" customHeight="false" outlineLevel="0" collapsed="false">
      <c r="A144" s="8" t="s">
        <v>511</v>
      </c>
      <c r="B144" s="29" t="n">
        <f aca="false">SUMIFS(H5:H137,G5:G137,0,F5:F137,"&gt;="&amp;Rules!$B$10)</f>
        <v>321.01</v>
      </c>
    </row>
    <row r="145" customFormat="false" ht="15" hidden="false" customHeight="false" outlineLevel="0" collapsed="false">
      <c r="A145" s="8" t="s">
        <v>512</v>
      </c>
      <c r="B145" s="29" t="n">
        <f aca="false">SUMIFS(H5:H137,O5:O137,"Negative*")</f>
        <v>292.98</v>
      </c>
    </row>
  </sheetData>
  <autoFilter ref="A4:O137"/>
  <conditionalFormatting sqref="N5:N137">
    <cfRule type="expression" priority="2" aboveAverage="0" equalAverage="0" bottom="0" percent="0" rank="0" text="" dxfId="2">
      <formula>LEFT($N5,5)="Waste"</formula>
    </cfRule>
    <cfRule type="expression" priority="3" aboveAverage="0" equalAverage="0" bottom="0" percent="0" rank="0" text="" dxfId="0">
      <formula>$N5="Converting"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10" min="9" style="0" width="30"/>
  </cols>
  <sheetData>
    <row r="1" customFormat="false" ht="17.35" hidden="false" customHeight="false" outlineLevel="0" collapsed="false">
      <c r="A1" s="11" t="s">
        <v>513</v>
      </c>
    </row>
    <row r="2" customFormat="false" ht="15" hidden="false" customHeight="false" outlineLevel="0" collapsed="false">
      <c r="A2" s="12" t="s">
        <v>514</v>
      </c>
    </row>
    <row r="4" customFormat="false" ht="15" hidden="false" customHeight="false" outlineLevel="0" collapsed="false">
      <c r="A4" s="3" t="s">
        <v>515</v>
      </c>
    </row>
    <row r="5" customFormat="false" ht="21.75" hidden="false" customHeight="true" outlineLevel="0" collapsed="false">
      <c r="A5" s="5" t="s">
        <v>516</v>
      </c>
      <c r="B5" s="5" t="s">
        <v>517</v>
      </c>
      <c r="C5" s="5" t="s">
        <v>518</v>
      </c>
      <c r="D5" s="5" t="s">
        <v>519</v>
      </c>
      <c r="E5" s="5" t="s">
        <v>520</v>
      </c>
      <c r="F5" s="5" t="s">
        <v>315</v>
      </c>
      <c r="G5" s="5" t="s">
        <v>521</v>
      </c>
    </row>
    <row r="6" customFormat="false" ht="45" hidden="false" customHeight="true" outlineLevel="0" collapsed="false">
      <c r="A6" s="17" t="n">
        <v>1</v>
      </c>
      <c r="B6" s="17" t="s">
        <v>522</v>
      </c>
      <c r="C6" s="17" t="s">
        <v>523</v>
      </c>
      <c r="D6" s="17" t="s">
        <v>524</v>
      </c>
      <c r="E6" s="17" t="s">
        <v>525</v>
      </c>
      <c r="F6" s="38"/>
      <c r="G6" s="38"/>
    </row>
    <row r="7" customFormat="false" ht="45" hidden="false" customHeight="true" outlineLevel="0" collapsed="false">
      <c r="A7" s="17" t="n">
        <v>2</v>
      </c>
      <c r="B7" s="17" t="s">
        <v>526</v>
      </c>
      <c r="C7" s="17" t="s">
        <v>527</v>
      </c>
      <c r="D7" s="17" t="s">
        <v>528</v>
      </c>
      <c r="E7" s="17" t="s">
        <v>529</v>
      </c>
      <c r="F7" s="38"/>
      <c r="G7" s="38"/>
    </row>
    <row r="8" customFormat="false" ht="45" hidden="false" customHeight="true" outlineLevel="0" collapsed="false">
      <c r="A8" s="17" t="n">
        <v>3</v>
      </c>
      <c r="B8" s="17" t="s">
        <v>530</v>
      </c>
      <c r="C8" s="17" t="s">
        <v>531</v>
      </c>
      <c r="D8" s="17" t="s">
        <v>532</v>
      </c>
      <c r="E8" s="17" t="s">
        <v>533</v>
      </c>
      <c r="F8" s="38"/>
      <c r="G8" s="38"/>
    </row>
    <row r="9" customFormat="false" ht="45" hidden="false" customHeight="true" outlineLevel="0" collapsed="false">
      <c r="A9" s="17" t="n">
        <v>4</v>
      </c>
      <c r="B9" s="17" t="s">
        <v>534</v>
      </c>
      <c r="C9" s="17" t="s">
        <v>535</v>
      </c>
      <c r="D9" s="17" t="s">
        <v>536</v>
      </c>
      <c r="E9" s="17" t="s">
        <v>537</v>
      </c>
      <c r="F9" s="38"/>
      <c r="G9" s="38"/>
    </row>
    <row r="10" customFormat="false" ht="45" hidden="false" customHeight="true" outlineLevel="0" collapsed="false">
      <c r="A10" s="17" t="n">
        <v>5</v>
      </c>
      <c r="B10" s="17" t="s">
        <v>538</v>
      </c>
      <c r="C10" s="17" t="s">
        <v>539</v>
      </c>
      <c r="D10" s="17" t="s">
        <v>540</v>
      </c>
      <c r="E10" s="17" t="s">
        <v>541</v>
      </c>
      <c r="F10" s="38"/>
      <c r="G10" s="38"/>
    </row>
    <row r="11" customFormat="false" ht="45" hidden="false" customHeight="true" outlineLevel="0" collapsed="false">
      <c r="A11" s="17" t="n">
        <v>6</v>
      </c>
      <c r="B11" s="17" t="s">
        <v>542</v>
      </c>
      <c r="C11" s="17" t="s">
        <v>543</v>
      </c>
      <c r="D11" s="17" t="s">
        <v>544</v>
      </c>
      <c r="E11" s="17" t="s">
        <v>545</v>
      </c>
      <c r="F11" s="38"/>
      <c r="G11" s="38"/>
    </row>
    <row r="12" customFormat="false" ht="45" hidden="false" customHeight="true" outlineLevel="0" collapsed="false">
      <c r="A12" s="17" t="n">
        <v>7</v>
      </c>
      <c r="B12" s="17" t="s">
        <v>546</v>
      </c>
      <c r="C12" s="17" t="s">
        <v>547</v>
      </c>
      <c r="D12" s="17" t="s">
        <v>548</v>
      </c>
      <c r="E12" s="17" t="s">
        <v>549</v>
      </c>
      <c r="F12" s="38"/>
      <c r="G12" s="38"/>
    </row>
    <row r="13" customFormat="false" ht="45" hidden="false" customHeight="true" outlineLevel="0" collapsed="false">
      <c r="A13" s="17" t="n">
        <v>8</v>
      </c>
      <c r="B13" s="17" t="s">
        <v>550</v>
      </c>
      <c r="C13" s="17" t="s">
        <v>551</v>
      </c>
      <c r="D13" s="17" t="s">
        <v>552</v>
      </c>
      <c r="E13" s="17" t="s">
        <v>553</v>
      </c>
      <c r="F13" s="38"/>
      <c r="G13" s="38"/>
    </row>
    <row r="14" customFormat="false" ht="45" hidden="false" customHeight="true" outlineLevel="0" collapsed="false">
      <c r="A14" s="17" t="n">
        <v>9</v>
      </c>
      <c r="B14" s="17" t="s">
        <v>554</v>
      </c>
      <c r="C14" s="17" t="s">
        <v>555</v>
      </c>
      <c r="D14" s="17" t="s">
        <v>532</v>
      </c>
      <c r="E14" s="17" t="s">
        <v>556</v>
      </c>
      <c r="F14" s="38"/>
      <c r="G14" s="38"/>
    </row>
    <row r="15" customFormat="false" ht="45" hidden="false" customHeight="true" outlineLevel="0" collapsed="false">
      <c r="A15" s="17" t="n">
        <v>10</v>
      </c>
      <c r="B15" s="17" t="s">
        <v>557</v>
      </c>
      <c r="C15" s="17" t="s">
        <v>558</v>
      </c>
      <c r="D15" s="17" t="s">
        <v>548</v>
      </c>
      <c r="E15" s="17" t="s">
        <v>559</v>
      </c>
      <c r="F15" s="38"/>
      <c r="G15" s="38"/>
    </row>
    <row r="16" customFormat="false" ht="15" hidden="false" customHeight="false" outlineLevel="0" collapsed="false">
      <c r="B16" s="39" t="s">
        <v>560</v>
      </c>
      <c r="C16" s="39" t="str">
        <f aca="false">COUNTIF(F6:F15,"Pass")&amp;" of 10  -&gt;  "&amp;IF(COUNTIF(F6:F15,"Pass")=10,"BUILD","STAY IN MAINTENANCE")</f>
        <v>0 of 10  -&gt;  STAY IN MAINTENANCE</v>
      </c>
    </row>
    <row r="17" customFormat="false" ht="15" hidden="false" customHeight="false" outlineLevel="0" collapsed="false">
      <c r="B17" s="12" t="s">
        <v>561</v>
      </c>
    </row>
    <row r="19" customFormat="false" ht="15" hidden="false" customHeight="false" outlineLevel="0" collapsed="false">
      <c r="A19" s="3" t="s">
        <v>562</v>
      </c>
    </row>
    <row r="20" customFormat="false" ht="30" hidden="false" customHeight="true" outlineLevel="0" collapsed="false">
      <c r="A20" s="5" t="s">
        <v>516</v>
      </c>
      <c r="B20" s="5" t="s">
        <v>563</v>
      </c>
      <c r="C20" s="5" t="s">
        <v>564</v>
      </c>
      <c r="D20" s="5" t="s">
        <v>565</v>
      </c>
      <c r="E20" s="5" t="s">
        <v>566</v>
      </c>
      <c r="F20" s="5" t="s">
        <v>567</v>
      </c>
      <c r="G20" s="5" t="s">
        <v>568</v>
      </c>
      <c r="H20" s="5" t="s">
        <v>569</v>
      </c>
      <c r="I20" s="5" t="s">
        <v>570</v>
      </c>
      <c r="J20" s="5" t="s">
        <v>571</v>
      </c>
    </row>
    <row r="21" customFormat="false" ht="48" hidden="false" customHeight="true" outlineLevel="0" collapsed="false">
      <c r="A21" s="17" t="n">
        <v>1</v>
      </c>
      <c r="B21" s="17" t="s">
        <v>572</v>
      </c>
      <c r="C21" s="17" t="s">
        <v>573</v>
      </c>
      <c r="D21" s="17" t="s">
        <v>574</v>
      </c>
      <c r="E21" s="17" t="s">
        <v>575</v>
      </c>
      <c r="F21" s="17" t="s">
        <v>576</v>
      </c>
      <c r="G21" s="17" t="s">
        <v>577</v>
      </c>
      <c r="H21" s="17" t="s">
        <v>578</v>
      </c>
      <c r="I21" s="17" t="s">
        <v>579</v>
      </c>
      <c r="J21" s="17" t="s">
        <v>580</v>
      </c>
    </row>
    <row r="22" customFormat="false" ht="48" hidden="false" customHeight="true" outlineLevel="0" collapsed="false">
      <c r="A22" s="17" t="n">
        <v>2</v>
      </c>
      <c r="B22" s="17" t="s">
        <v>581</v>
      </c>
      <c r="C22" s="17" t="s">
        <v>582</v>
      </c>
      <c r="D22" s="17" t="s">
        <v>583</v>
      </c>
      <c r="E22" s="17" t="s">
        <v>584</v>
      </c>
      <c r="F22" s="17" t="s">
        <v>585</v>
      </c>
      <c r="G22" s="17" t="s">
        <v>586</v>
      </c>
      <c r="H22" s="17" t="s">
        <v>587</v>
      </c>
      <c r="I22" s="17" t="s">
        <v>588</v>
      </c>
      <c r="J22" s="17" t="s">
        <v>589</v>
      </c>
    </row>
    <row r="23" customFormat="false" ht="48" hidden="false" customHeight="true" outlineLevel="0" collapsed="false">
      <c r="A23" s="17" t="n">
        <v>3</v>
      </c>
      <c r="B23" s="17" t="s">
        <v>590</v>
      </c>
      <c r="C23" s="17" t="s">
        <v>591</v>
      </c>
      <c r="D23" s="17" t="s">
        <v>583</v>
      </c>
      <c r="E23" s="17" t="s">
        <v>592</v>
      </c>
      <c r="F23" s="17" t="s">
        <v>593</v>
      </c>
      <c r="G23" s="17" t="s">
        <v>594</v>
      </c>
      <c r="H23" s="17" t="s">
        <v>595</v>
      </c>
      <c r="I23" s="17" t="s">
        <v>596</v>
      </c>
      <c r="J23" s="17" t="s">
        <v>597</v>
      </c>
    </row>
    <row r="24" customFormat="false" ht="48" hidden="false" customHeight="true" outlineLevel="0" collapsed="false">
      <c r="A24" s="17" t="n">
        <v>4</v>
      </c>
      <c r="B24" s="17" t="s">
        <v>598</v>
      </c>
      <c r="C24" s="17" t="s">
        <v>599</v>
      </c>
      <c r="D24" s="17" t="s">
        <v>600</v>
      </c>
      <c r="E24" s="17" t="s">
        <v>601</v>
      </c>
      <c r="F24" s="17" t="s">
        <v>602</v>
      </c>
      <c r="G24" s="17" t="s">
        <v>603</v>
      </c>
      <c r="H24" s="17" t="s">
        <v>604</v>
      </c>
      <c r="I24" s="17" t="s">
        <v>605</v>
      </c>
      <c r="J24" s="17" t="s">
        <v>589</v>
      </c>
    </row>
    <row r="25" customFormat="false" ht="48" hidden="false" customHeight="true" outlineLevel="0" collapsed="false">
      <c r="A25" s="17" t="n">
        <v>5</v>
      </c>
      <c r="B25" s="17" t="s">
        <v>606</v>
      </c>
      <c r="C25" s="17" t="s">
        <v>582</v>
      </c>
      <c r="D25" s="17" t="s">
        <v>607</v>
      </c>
      <c r="E25" s="17" t="s">
        <v>608</v>
      </c>
      <c r="F25" s="17" t="s">
        <v>609</v>
      </c>
      <c r="G25" s="17" t="s">
        <v>610</v>
      </c>
      <c r="H25" s="17" t="s">
        <v>578</v>
      </c>
      <c r="I25" s="17" t="s">
        <v>605</v>
      </c>
      <c r="J25" s="17" t="s">
        <v>611</v>
      </c>
    </row>
    <row r="26" customFormat="false" ht="48" hidden="false" customHeight="true" outlineLevel="0" collapsed="false">
      <c r="A26" s="17" t="n">
        <v>6</v>
      </c>
      <c r="B26" s="17" t="s">
        <v>612</v>
      </c>
      <c r="C26" s="17" t="s">
        <v>613</v>
      </c>
      <c r="D26" s="17" t="s">
        <v>614</v>
      </c>
      <c r="E26" s="17" t="s">
        <v>615</v>
      </c>
      <c r="F26" s="17" t="s">
        <v>616</v>
      </c>
      <c r="G26" s="17" t="s">
        <v>603</v>
      </c>
      <c r="H26" s="17" t="s">
        <v>604</v>
      </c>
      <c r="I26" s="17" t="s">
        <v>605</v>
      </c>
      <c r="J26" s="17" t="s">
        <v>611</v>
      </c>
    </row>
    <row r="27" customFormat="false" ht="48" hidden="false" customHeight="true" outlineLevel="0" collapsed="false">
      <c r="A27" s="17" t="n">
        <v>7</v>
      </c>
      <c r="B27" s="17" t="s">
        <v>617</v>
      </c>
      <c r="C27" s="17" t="s">
        <v>582</v>
      </c>
      <c r="D27" s="17" t="s">
        <v>607</v>
      </c>
      <c r="E27" s="17" t="s">
        <v>618</v>
      </c>
      <c r="F27" s="17" t="s">
        <v>619</v>
      </c>
      <c r="G27" s="17" t="s">
        <v>610</v>
      </c>
      <c r="H27" s="17" t="s">
        <v>578</v>
      </c>
      <c r="I27" s="17" t="s">
        <v>605</v>
      </c>
      <c r="J27" s="17" t="s">
        <v>611</v>
      </c>
    </row>
    <row r="28" customFormat="false" ht="48" hidden="false" customHeight="true" outlineLevel="0" collapsed="false">
      <c r="A28" s="17" t="n">
        <v>8</v>
      </c>
      <c r="B28" s="17" t="s">
        <v>620</v>
      </c>
      <c r="C28" s="17" t="s">
        <v>621</v>
      </c>
      <c r="D28" s="17" t="s">
        <v>622</v>
      </c>
      <c r="E28" s="17" t="s">
        <v>623</v>
      </c>
      <c r="F28" s="17" t="s">
        <v>624</v>
      </c>
      <c r="G28" s="17" t="s">
        <v>610</v>
      </c>
      <c r="H28" s="17" t="s">
        <v>625</v>
      </c>
      <c r="I28" s="17" t="s">
        <v>626</v>
      </c>
      <c r="J28" s="17" t="s">
        <v>627</v>
      </c>
    </row>
    <row r="29" customFormat="false" ht="48" hidden="false" customHeight="true" outlineLevel="0" collapsed="false">
      <c r="A29" s="17" t="n">
        <v>9</v>
      </c>
      <c r="B29" s="17" t="s">
        <v>628</v>
      </c>
      <c r="C29" s="17" t="s">
        <v>629</v>
      </c>
      <c r="D29" s="17" t="s">
        <v>630</v>
      </c>
      <c r="E29" s="17" t="s">
        <v>631</v>
      </c>
      <c r="F29" s="17" t="s">
        <v>593</v>
      </c>
      <c r="G29" s="17" t="s">
        <v>632</v>
      </c>
      <c r="H29" s="17" t="s">
        <v>578</v>
      </c>
      <c r="I29" s="17" t="s">
        <v>633</v>
      </c>
      <c r="J29" s="17" t="s">
        <v>634</v>
      </c>
    </row>
    <row r="30" customFormat="false" ht="48" hidden="false" customHeight="true" outlineLevel="0" collapsed="false">
      <c r="A30" s="17" t="n">
        <v>10</v>
      </c>
      <c r="B30" s="17" t="s">
        <v>635</v>
      </c>
      <c r="C30" s="17" t="s">
        <v>636</v>
      </c>
      <c r="D30" s="17" t="s">
        <v>637</v>
      </c>
      <c r="E30" s="17" t="s">
        <v>638</v>
      </c>
      <c r="F30" s="17" t="s">
        <v>639</v>
      </c>
      <c r="G30" s="17" t="s">
        <v>640</v>
      </c>
      <c r="H30" s="17" t="s">
        <v>641</v>
      </c>
      <c r="I30" s="17" t="s">
        <v>642</v>
      </c>
      <c r="J30" s="17" t="s">
        <v>643</v>
      </c>
    </row>
    <row r="31" customFormat="false" ht="48" hidden="false" customHeight="true" outlineLevel="0" collapsed="false">
      <c r="A31" s="17" t="n">
        <v>11</v>
      </c>
      <c r="B31" s="17" t="s">
        <v>85</v>
      </c>
      <c r="C31" s="17" t="s">
        <v>644</v>
      </c>
      <c r="D31" s="17" t="s">
        <v>645</v>
      </c>
      <c r="E31" s="17" t="s">
        <v>646</v>
      </c>
      <c r="F31" s="17" t="s">
        <v>647</v>
      </c>
      <c r="G31" s="17" t="s">
        <v>648</v>
      </c>
      <c r="H31" s="17" t="s">
        <v>649</v>
      </c>
      <c r="I31" s="17" t="s">
        <v>650</v>
      </c>
      <c r="J31" s="17" t="s">
        <v>651</v>
      </c>
    </row>
    <row r="32" customFormat="false" ht="48" hidden="false" customHeight="true" outlineLevel="0" collapsed="false">
      <c r="A32" s="17" t="n">
        <v>12</v>
      </c>
      <c r="B32" s="17" t="s">
        <v>87</v>
      </c>
      <c r="C32" s="17" t="s">
        <v>652</v>
      </c>
      <c r="D32" s="17" t="s">
        <v>653</v>
      </c>
      <c r="E32" s="17" t="s">
        <v>654</v>
      </c>
      <c r="F32" s="17" t="s">
        <v>655</v>
      </c>
      <c r="G32" s="17" t="s">
        <v>656</v>
      </c>
      <c r="H32" s="17" t="s">
        <v>657</v>
      </c>
      <c r="I32" s="17" t="s">
        <v>658</v>
      </c>
      <c r="J32" s="17" t="s">
        <v>659</v>
      </c>
    </row>
    <row r="34" customFormat="false" ht="15" hidden="false" customHeight="false" outlineLevel="0" collapsed="false">
      <c r="A34" s="3" t="s">
        <v>660</v>
      </c>
    </row>
    <row r="35" customFormat="false" ht="30" hidden="false" customHeight="true" outlineLevel="0" collapsed="false">
      <c r="A35" s="0" t="s">
        <v>661</v>
      </c>
      <c r="B35" s="4" t="s">
        <v>662</v>
      </c>
      <c r="C35" s="4"/>
      <c r="D35" s="4"/>
      <c r="E35" s="4"/>
      <c r="F35" s="4"/>
      <c r="G35" s="4"/>
      <c r="H35" s="4"/>
      <c r="I35" s="4"/>
      <c r="J35" s="4"/>
    </row>
    <row r="36" customFormat="false" ht="30" hidden="false" customHeight="true" outlineLevel="0" collapsed="false">
      <c r="A36" s="0" t="s">
        <v>663</v>
      </c>
      <c r="B36" s="4" t="s">
        <v>664</v>
      </c>
      <c r="C36" s="4"/>
      <c r="D36" s="4"/>
      <c r="E36" s="4"/>
      <c r="F36" s="4"/>
      <c r="G36" s="4"/>
      <c r="H36" s="4"/>
      <c r="I36" s="4"/>
      <c r="J36" s="4"/>
    </row>
    <row r="37" customFormat="false" ht="30" hidden="false" customHeight="true" outlineLevel="0" collapsed="false">
      <c r="A37" s="0" t="s">
        <v>665</v>
      </c>
      <c r="B37" s="4" t="s">
        <v>666</v>
      </c>
      <c r="C37" s="4"/>
      <c r="D37" s="4"/>
      <c r="E37" s="4"/>
      <c r="F37" s="4"/>
      <c r="G37" s="4"/>
      <c r="H37" s="4"/>
      <c r="I37" s="4"/>
      <c r="J37" s="4"/>
    </row>
    <row r="38" customFormat="false" ht="30" hidden="false" customHeight="true" outlineLevel="0" collapsed="false">
      <c r="A38" s="0" t="s">
        <v>667</v>
      </c>
      <c r="B38" s="4" t="s">
        <v>668</v>
      </c>
      <c r="C38" s="4"/>
      <c r="D38" s="4"/>
      <c r="E38" s="4"/>
      <c r="F38" s="4"/>
      <c r="G38" s="4"/>
      <c r="H38" s="4"/>
      <c r="I38" s="4"/>
      <c r="J38" s="4"/>
    </row>
    <row r="39" customFormat="false" ht="30" hidden="false" customHeight="true" outlineLevel="0" collapsed="false">
      <c r="A39" s="0" t="s">
        <v>669</v>
      </c>
      <c r="B39" s="4" t="s">
        <v>670</v>
      </c>
      <c r="C39" s="4"/>
      <c r="D39" s="4"/>
      <c r="E39" s="4"/>
      <c r="F39" s="4"/>
      <c r="G39" s="4"/>
      <c r="H39" s="4"/>
      <c r="I39" s="4"/>
      <c r="J39" s="4"/>
    </row>
    <row r="40" customFormat="false" ht="30" hidden="false" customHeight="true" outlineLevel="0" collapsed="false">
      <c r="A40" s="0" t="s">
        <v>671</v>
      </c>
      <c r="B40" s="4" t="s">
        <v>672</v>
      </c>
      <c r="C40" s="4"/>
      <c r="D40" s="4"/>
      <c r="E40" s="4"/>
      <c r="F40" s="4"/>
      <c r="G40" s="4"/>
      <c r="H40" s="4"/>
      <c r="I40" s="4"/>
      <c r="J40" s="4"/>
    </row>
    <row r="41" customFormat="false" ht="30" hidden="false" customHeight="true" outlineLevel="0" collapsed="false">
      <c r="A41" s="0" t="s">
        <v>673</v>
      </c>
      <c r="B41" s="4" t="s">
        <v>674</v>
      </c>
      <c r="C41" s="4"/>
      <c r="D41" s="4"/>
      <c r="E41" s="4"/>
      <c r="F41" s="4"/>
      <c r="G41" s="4"/>
      <c r="H41" s="4"/>
      <c r="I41" s="4"/>
      <c r="J41" s="4"/>
    </row>
    <row r="42" customFormat="false" ht="30" hidden="false" customHeight="true" outlineLevel="0" collapsed="false">
      <c r="A42" s="0" t="s">
        <v>675</v>
      </c>
      <c r="B42" s="4" t="s">
        <v>676</v>
      </c>
      <c r="C42" s="4"/>
      <c r="D42" s="4"/>
      <c r="E42" s="4"/>
      <c r="F42" s="4"/>
      <c r="G42" s="4"/>
      <c r="H42" s="4"/>
      <c r="I42" s="4"/>
      <c r="J42" s="4"/>
    </row>
    <row r="44" customFormat="false" ht="15" hidden="false" customHeight="false" outlineLevel="0" collapsed="false">
      <c r="A44" s="3" t="s">
        <v>677</v>
      </c>
    </row>
    <row r="45" customFormat="false" ht="21.75" hidden="false" customHeight="true" outlineLevel="0" collapsed="false">
      <c r="A45" s="5" t="s">
        <v>516</v>
      </c>
      <c r="B45" s="5" t="s">
        <v>678</v>
      </c>
      <c r="C45" s="5" t="s">
        <v>679</v>
      </c>
      <c r="D45" s="5" t="s">
        <v>680</v>
      </c>
    </row>
    <row r="46" customFormat="false" ht="30" hidden="false" customHeight="true" outlineLevel="0" collapsed="false">
      <c r="A46" s="17" t="n">
        <v>1</v>
      </c>
      <c r="B46" s="17" t="s">
        <v>681</v>
      </c>
      <c r="C46" s="17" t="s">
        <v>682</v>
      </c>
      <c r="D46" s="17"/>
      <c r="E46" s="17"/>
      <c r="F46" s="17"/>
      <c r="G46" s="17"/>
      <c r="H46" s="17"/>
    </row>
    <row r="47" customFormat="false" ht="30" hidden="false" customHeight="true" outlineLevel="0" collapsed="false">
      <c r="A47" s="17" t="n">
        <v>2</v>
      </c>
      <c r="B47" s="17" t="s">
        <v>683</v>
      </c>
      <c r="C47" s="17" t="s">
        <v>684</v>
      </c>
      <c r="D47" s="17"/>
      <c r="E47" s="17"/>
      <c r="F47" s="17"/>
      <c r="G47" s="17"/>
      <c r="H47" s="17"/>
    </row>
    <row r="48" customFormat="false" ht="30" hidden="false" customHeight="true" outlineLevel="0" collapsed="false">
      <c r="A48" s="17" t="n">
        <v>3</v>
      </c>
      <c r="B48" s="17" t="s">
        <v>685</v>
      </c>
      <c r="C48" s="17" t="s">
        <v>686</v>
      </c>
      <c r="D48" s="17"/>
      <c r="E48" s="17"/>
      <c r="F48" s="17"/>
      <c r="G48" s="17"/>
      <c r="H48" s="17"/>
    </row>
    <row r="49" customFormat="false" ht="30" hidden="false" customHeight="true" outlineLevel="0" collapsed="false">
      <c r="A49" s="17" t="n">
        <v>4</v>
      </c>
      <c r="B49" s="17" t="s">
        <v>687</v>
      </c>
      <c r="C49" s="17" t="s">
        <v>688</v>
      </c>
      <c r="D49" s="17"/>
      <c r="E49" s="17"/>
      <c r="F49" s="17"/>
      <c r="G49" s="17"/>
      <c r="H49" s="17"/>
    </row>
    <row r="50" customFormat="false" ht="30" hidden="false" customHeight="true" outlineLevel="0" collapsed="false">
      <c r="A50" s="17" t="n">
        <v>5</v>
      </c>
      <c r="B50" s="17" t="s">
        <v>689</v>
      </c>
      <c r="C50" s="17" t="s">
        <v>690</v>
      </c>
      <c r="D50" s="17"/>
      <c r="E50" s="17"/>
      <c r="F50" s="17"/>
      <c r="G50" s="17"/>
      <c r="H50" s="17"/>
    </row>
    <row r="51" customFormat="false" ht="30" hidden="false" customHeight="true" outlineLevel="0" collapsed="false">
      <c r="A51" s="17" t="n">
        <v>6</v>
      </c>
      <c r="B51" s="17" t="s">
        <v>691</v>
      </c>
      <c r="C51" s="17" t="s">
        <v>692</v>
      </c>
      <c r="D51" s="17"/>
      <c r="E51" s="17"/>
      <c r="F51" s="17"/>
      <c r="G51" s="17"/>
      <c r="H51" s="17"/>
    </row>
    <row r="52" customFormat="false" ht="30" hidden="false" customHeight="true" outlineLevel="0" collapsed="false">
      <c r="A52" s="17" t="n">
        <v>7</v>
      </c>
      <c r="B52" s="17" t="s">
        <v>693</v>
      </c>
      <c r="C52" s="17" t="s">
        <v>694</v>
      </c>
      <c r="D52" s="17"/>
      <c r="E52" s="17"/>
      <c r="F52" s="17"/>
      <c r="G52" s="17"/>
      <c r="H52" s="17"/>
    </row>
  </sheetData>
  <mergeCells count="15">
    <mergeCell ref="B35:J35"/>
    <mergeCell ref="B36:J36"/>
    <mergeCell ref="B37:J37"/>
    <mergeCell ref="B38:J38"/>
    <mergeCell ref="B39:J39"/>
    <mergeCell ref="B40:J40"/>
    <mergeCell ref="B41:J41"/>
    <mergeCell ref="B42:J42"/>
    <mergeCell ref="C46:H46"/>
    <mergeCell ref="C47:H47"/>
    <mergeCell ref="C48:H48"/>
    <mergeCell ref="C49:H49"/>
    <mergeCell ref="C50:H50"/>
    <mergeCell ref="C51:H51"/>
    <mergeCell ref="C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50"/>
    <col collapsed="false" customWidth="true" hidden="false" outlineLevel="0" max="5" min="5" style="0" width="3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1" t="s">
        <v>695</v>
      </c>
    </row>
    <row r="2" customFormat="false" ht="15" hidden="false" customHeight="false" outlineLevel="0" collapsed="false">
      <c r="A2" s="12" t="s">
        <v>696</v>
      </c>
    </row>
    <row r="4" customFormat="false" ht="21.75" hidden="false" customHeight="true" outlineLevel="0" collapsed="false">
      <c r="A4" s="5" t="s">
        <v>516</v>
      </c>
      <c r="B4" s="5" t="s">
        <v>385</v>
      </c>
      <c r="C4" s="5" t="s">
        <v>697</v>
      </c>
      <c r="D4" s="5" t="s">
        <v>698</v>
      </c>
      <c r="E4" s="5" t="s">
        <v>385</v>
      </c>
      <c r="F4" s="5" t="s">
        <v>699</v>
      </c>
    </row>
    <row r="5" customFormat="false" ht="31.5" hidden="false" customHeight="true" outlineLevel="0" collapsed="false">
      <c r="A5" s="17" t="n">
        <v>1</v>
      </c>
      <c r="B5" s="17" t="s">
        <v>700</v>
      </c>
      <c r="C5" s="17" t="s">
        <v>701</v>
      </c>
      <c r="D5" s="17" t="s">
        <v>702</v>
      </c>
      <c r="E5" s="38"/>
      <c r="F5" s="38"/>
    </row>
    <row r="6" customFormat="false" ht="31.5" hidden="false" customHeight="true" outlineLevel="0" collapsed="false">
      <c r="A6" s="17" t="n">
        <v>2</v>
      </c>
      <c r="B6" s="17" t="s">
        <v>703</v>
      </c>
      <c r="C6" s="17" t="s">
        <v>704</v>
      </c>
      <c r="D6" s="17" t="s">
        <v>705</v>
      </c>
      <c r="E6" s="38"/>
      <c r="F6" s="38"/>
    </row>
    <row r="7" customFormat="false" ht="31.5" hidden="false" customHeight="true" outlineLevel="0" collapsed="false">
      <c r="A7" s="17" t="n">
        <v>3</v>
      </c>
      <c r="B7" s="17" t="s">
        <v>706</v>
      </c>
      <c r="C7" s="17" t="s">
        <v>707</v>
      </c>
      <c r="D7" s="17" t="s">
        <v>708</v>
      </c>
      <c r="E7" s="38"/>
      <c r="F7" s="38"/>
    </row>
    <row r="8" customFormat="false" ht="31.5" hidden="false" customHeight="true" outlineLevel="0" collapsed="false">
      <c r="A8" s="17" t="n">
        <v>4</v>
      </c>
      <c r="B8" s="17" t="s">
        <v>709</v>
      </c>
      <c r="C8" s="17" t="s">
        <v>710</v>
      </c>
      <c r="D8" s="17" t="s">
        <v>711</v>
      </c>
      <c r="E8" s="38"/>
      <c r="F8" s="38"/>
    </row>
    <row r="9" customFormat="false" ht="31.5" hidden="false" customHeight="true" outlineLevel="0" collapsed="false">
      <c r="A9" s="17" t="n">
        <v>5</v>
      </c>
      <c r="B9" s="17" t="s">
        <v>572</v>
      </c>
      <c r="C9" s="17" t="s">
        <v>712</v>
      </c>
      <c r="D9" s="17" t="s">
        <v>713</v>
      </c>
      <c r="E9" s="38"/>
      <c r="F9" s="38"/>
    </row>
    <row r="10" customFormat="false" ht="31.5" hidden="false" customHeight="true" outlineLevel="0" collapsed="false">
      <c r="A10" s="17" t="n">
        <v>6</v>
      </c>
      <c r="B10" s="17" t="s">
        <v>714</v>
      </c>
      <c r="C10" s="17" t="s">
        <v>715</v>
      </c>
      <c r="D10" s="17" t="s">
        <v>716</v>
      </c>
      <c r="E10" s="38"/>
      <c r="F10" s="38"/>
    </row>
    <row r="11" customFormat="false" ht="31.5" hidden="false" customHeight="true" outlineLevel="0" collapsed="false">
      <c r="A11" s="17" t="n">
        <v>7</v>
      </c>
      <c r="B11" s="17" t="s">
        <v>717</v>
      </c>
      <c r="C11" s="17" t="s">
        <v>718</v>
      </c>
      <c r="D11" s="17" t="s">
        <v>719</v>
      </c>
      <c r="E11" s="38"/>
      <c r="F11" s="38"/>
    </row>
    <row r="12" customFormat="false" ht="31.5" hidden="false" customHeight="true" outlineLevel="0" collapsed="false">
      <c r="A12" s="17" t="n">
        <v>8</v>
      </c>
      <c r="B12" s="17" t="s">
        <v>720</v>
      </c>
      <c r="C12" s="17" t="s">
        <v>721</v>
      </c>
      <c r="D12" s="17" t="s">
        <v>722</v>
      </c>
      <c r="E12" s="38"/>
      <c r="F12" s="38"/>
    </row>
    <row r="13" customFormat="false" ht="31.5" hidden="false" customHeight="true" outlineLevel="0" collapsed="false">
      <c r="A13" s="17" t="n">
        <v>9</v>
      </c>
      <c r="B13" s="17" t="s">
        <v>723</v>
      </c>
      <c r="C13" s="17" t="s">
        <v>724</v>
      </c>
      <c r="D13" s="17" t="s">
        <v>725</v>
      </c>
      <c r="E13" s="38"/>
      <c r="F13" s="3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AY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24"/>
    <col collapsed="false" customWidth="true" hidden="false" outlineLevel="0" max="42" min="8" style="0" width="10"/>
    <col collapsed="false" customWidth="true" hidden="false" outlineLevel="0" max="43" min="43" style="0" width="24"/>
    <col collapsed="false" customWidth="true" hidden="false" outlineLevel="0" max="44" min="44" style="0" width="18"/>
    <col collapsed="false" customWidth="true" hidden="false" outlineLevel="0" max="45" min="45" style="0" width="14"/>
    <col collapsed="false" customWidth="true" hidden="false" outlineLevel="0" max="46" min="46" style="0" width="24"/>
    <col collapsed="false" customWidth="true" hidden="false" outlineLevel="0" max="47" min="47" style="0" width="10"/>
    <col collapsed="false" customWidth="true" hidden="false" outlineLevel="0" max="48" min="48" style="0" width="40"/>
    <col collapsed="false" customWidth="true" hidden="false" outlineLevel="0" max="49" min="49" style="0" width="70"/>
    <col collapsed="false" customWidth="true" hidden="false" outlineLevel="0" max="50" min="50" style="0" width="16"/>
    <col collapsed="false" customWidth="true" hidden="false" outlineLevel="0" max="51" min="51" style="0" width="9"/>
  </cols>
  <sheetData>
    <row r="1" customFormat="false" ht="17.35" hidden="false" customHeight="false" outlineLevel="0" collapsed="false">
      <c r="A1" s="40" t="s">
        <v>726</v>
      </c>
    </row>
    <row r="2" customFormat="false" ht="15" hidden="false" customHeight="false" outlineLevel="0" collapsed="false">
      <c r="A2" s="41" t="s">
        <v>727</v>
      </c>
    </row>
    <row r="4" customFormat="false" ht="15" hidden="false" customHeight="true" outlineLevel="0" collapsed="false">
      <c r="A4" s="42" t="s">
        <v>99</v>
      </c>
      <c r="B4" s="42"/>
      <c r="C4" s="42"/>
      <c r="D4" s="42"/>
      <c r="E4" s="42"/>
      <c r="F4" s="42"/>
      <c r="G4" s="42"/>
      <c r="H4" s="42" t="s">
        <v>728</v>
      </c>
      <c r="I4" s="42"/>
      <c r="J4" s="42"/>
      <c r="K4" s="42"/>
      <c r="L4" s="42"/>
      <c r="M4" s="42" t="s">
        <v>729</v>
      </c>
      <c r="N4" s="42"/>
      <c r="O4" s="42"/>
      <c r="P4" s="42"/>
      <c r="Q4" s="42"/>
      <c r="R4" s="42"/>
      <c r="S4" s="42"/>
      <c r="T4" s="42"/>
      <c r="U4" s="42"/>
      <c r="V4" s="42"/>
      <c r="W4" s="42" t="s">
        <v>730</v>
      </c>
      <c r="X4" s="42"/>
      <c r="Y4" s="42"/>
      <c r="Z4" s="42"/>
      <c r="AA4" s="42"/>
      <c r="AB4" s="42"/>
      <c r="AC4" s="42" t="s">
        <v>731</v>
      </c>
      <c r="AD4" s="42"/>
      <c r="AE4" s="42"/>
      <c r="AF4" s="42"/>
      <c r="AG4" s="42"/>
      <c r="AH4" s="42" t="s">
        <v>732</v>
      </c>
      <c r="AI4" s="42"/>
      <c r="AJ4" s="42"/>
      <c r="AK4" s="42"/>
      <c r="AL4" s="42"/>
      <c r="AM4" s="42"/>
      <c r="AN4" s="42"/>
      <c r="AO4" s="42"/>
      <c r="AP4" s="42"/>
      <c r="AQ4" s="42" t="s">
        <v>733</v>
      </c>
      <c r="AR4" s="42"/>
      <c r="AS4" s="42"/>
      <c r="AT4" s="42" t="s">
        <v>385</v>
      </c>
      <c r="AU4" s="42"/>
      <c r="AV4" s="42"/>
      <c r="AW4" s="42"/>
      <c r="AX4" s="42"/>
      <c r="AY4" s="42"/>
    </row>
    <row r="5" customFormat="false" ht="45" hidden="false" customHeight="true" outlineLevel="0" collapsed="false">
      <c r="A5" s="43" t="s">
        <v>100</v>
      </c>
      <c r="B5" s="43" t="s">
        <v>734</v>
      </c>
      <c r="C5" s="43" t="s">
        <v>735</v>
      </c>
      <c r="D5" s="43" t="s">
        <v>736</v>
      </c>
      <c r="E5" s="43" t="s">
        <v>737</v>
      </c>
      <c r="F5" s="43" t="s">
        <v>738</v>
      </c>
      <c r="G5" s="43" t="s">
        <v>739</v>
      </c>
      <c r="H5" s="43" t="s">
        <v>740</v>
      </c>
      <c r="I5" s="43" t="s">
        <v>741</v>
      </c>
      <c r="J5" s="43" t="s">
        <v>112</v>
      </c>
      <c r="K5" s="43" t="s">
        <v>742</v>
      </c>
      <c r="L5" s="43" t="s">
        <v>743</v>
      </c>
      <c r="M5" s="43" t="s">
        <v>394</v>
      </c>
      <c r="N5" s="43" t="s">
        <v>11</v>
      </c>
      <c r="O5" s="43" t="s">
        <v>395</v>
      </c>
      <c r="P5" s="43" t="s">
        <v>12</v>
      </c>
      <c r="Q5" s="43" t="s">
        <v>396</v>
      </c>
      <c r="R5" s="43" t="s">
        <v>744</v>
      </c>
      <c r="S5" s="43" t="s">
        <v>398</v>
      </c>
      <c r="T5" s="43" t="s">
        <v>397</v>
      </c>
      <c r="U5" s="43" t="s">
        <v>19</v>
      </c>
      <c r="V5" s="43" t="s">
        <v>745</v>
      </c>
      <c r="W5" s="43" t="s">
        <v>11</v>
      </c>
      <c r="X5" s="43" t="s">
        <v>395</v>
      </c>
      <c r="Y5" s="43" t="s">
        <v>12</v>
      </c>
      <c r="Z5" s="43" t="s">
        <v>396</v>
      </c>
      <c r="AA5" s="43" t="s">
        <v>398</v>
      </c>
      <c r="AB5" s="43" t="s">
        <v>19</v>
      </c>
      <c r="AC5" s="43" t="s">
        <v>11</v>
      </c>
      <c r="AD5" s="43" t="s">
        <v>395</v>
      </c>
      <c r="AE5" s="43" t="s">
        <v>12</v>
      </c>
      <c r="AF5" s="43" t="s">
        <v>396</v>
      </c>
      <c r="AG5" s="43" t="s">
        <v>398</v>
      </c>
      <c r="AH5" s="43" t="s">
        <v>746</v>
      </c>
      <c r="AI5" s="43" t="s">
        <v>747</v>
      </c>
      <c r="AJ5" s="43" t="s">
        <v>748</v>
      </c>
      <c r="AK5" s="43" t="s">
        <v>749</v>
      </c>
      <c r="AL5" s="43" t="s">
        <v>750</v>
      </c>
      <c r="AM5" s="43" t="s">
        <v>751</v>
      </c>
      <c r="AN5" s="43" t="s">
        <v>752</v>
      </c>
      <c r="AO5" s="43" t="s">
        <v>753</v>
      </c>
      <c r="AP5" s="43" t="s">
        <v>754</v>
      </c>
      <c r="AQ5" s="43" t="s">
        <v>755</v>
      </c>
      <c r="AR5" s="43" t="s">
        <v>756</v>
      </c>
      <c r="AS5" s="43" t="s">
        <v>757</v>
      </c>
      <c r="AT5" s="43" t="s">
        <v>41</v>
      </c>
      <c r="AU5" s="43" t="s">
        <v>104</v>
      </c>
      <c r="AV5" s="43" t="s">
        <v>116</v>
      </c>
      <c r="AW5" s="43" t="s">
        <v>758</v>
      </c>
      <c r="AX5" s="43" t="s">
        <v>119</v>
      </c>
      <c r="AY5" s="44" t="s">
        <v>120</v>
      </c>
    </row>
    <row r="6" customFormat="false" ht="46.25" hidden="false" customHeight="false" outlineLevel="0" collapsed="false">
      <c r="A6" s="45" t="s">
        <v>164</v>
      </c>
      <c r="B6" s="46" t="s">
        <v>759</v>
      </c>
      <c r="C6" s="46" t="s">
        <v>760</v>
      </c>
      <c r="D6" s="47" t="s">
        <v>761</v>
      </c>
      <c r="E6" s="47" t="s">
        <v>762</v>
      </c>
      <c r="F6" s="47" t="s">
        <v>763</v>
      </c>
      <c r="G6" s="46" t="s">
        <v>764</v>
      </c>
      <c r="H6" s="47" t="s">
        <v>765</v>
      </c>
      <c r="I6" s="48" t="n">
        <v>30.09</v>
      </c>
      <c r="J6" s="49" t="n">
        <v>4.13</v>
      </c>
      <c r="K6" s="48" t="n">
        <v>0.97</v>
      </c>
      <c r="L6" s="50" t="n">
        <f aca="false">IF(OR(K6="",J6=""),"",K6*(1+J6))</f>
        <v>4.9761</v>
      </c>
      <c r="M6" s="51" t="n">
        <v>19211</v>
      </c>
      <c r="N6" s="51" t="n">
        <v>1063</v>
      </c>
      <c r="O6" s="48" t="n">
        <v>239.23</v>
      </c>
      <c r="P6" s="51" t="n">
        <v>9</v>
      </c>
      <c r="Q6" s="48" t="n">
        <v>282.91</v>
      </c>
      <c r="R6" s="52" t="n">
        <f aca="false">IF(M6=0,0,N6/M6)</f>
        <v>0.0553328822029046</v>
      </c>
      <c r="S6" s="52" t="n">
        <f aca="false">IF(N6=0,0,P6/N6)</f>
        <v>0.00846660395108184</v>
      </c>
      <c r="T6" s="50" t="n">
        <f aca="false">IF(N6=0,0,O6/N6)</f>
        <v>0.225051740357479</v>
      </c>
      <c r="U6" s="52" t="n">
        <f aca="false">IF(Q6=0,"",O6/Q6)</f>
        <v>0.845604609239687</v>
      </c>
      <c r="V6" s="53" t="n">
        <f aca="false">IF(O6=0,0,Q6/O6)</f>
        <v>1.18258579609581</v>
      </c>
      <c r="W6" s="51" t="n">
        <v>28</v>
      </c>
      <c r="X6" s="48" t="n">
        <v>34.14</v>
      </c>
      <c r="Y6" s="51" t="n">
        <v>0</v>
      </c>
      <c r="Z6" s="48" t="n">
        <v>0</v>
      </c>
      <c r="AA6" s="52" t="n">
        <f aca="false">IF(W6=0,0,Y6/W6)</f>
        <v>0</v>
      </c>
      <c r="AB6" s="52" t="str">
        <f aca="false">IF(Z6=0,"",X6/Z6)</f>
        <v/>
      </c>
      <c r="AC6" s="51" t="n">
        <v>18</v>
      </c>
      <c r="AD6" s="48" t="n">
        <v>21.48</v>
      </c>
      <c r="AE6" s="51" t="n">
        <v>0</v>
      </c>
      <c r="AF6" s="48" t="n">
        <v>0</v>
      </c>
      <c r="AG6" s="52" t="n">
        <f aca="false">IF(AC6=0,0,AE6/AC6)</f>
        <v>0</v>
      </c>
      <c r="AH6" s="51" t="n">
        <v>11</v>
      </c>
      <c r="AI6" s="48" t="n">
        <v>23.41</v>
      </c>
      <c r="AJ6" s="51" t="n">
        <v>21</v>
      </c>
      <c r="AK6" s="48" t="n">
        <v>17.03</v>
      </c>
      <c r="AL6" s="51" t="n">
        <v>4</v>
      </c>
      <c r="AM6" s="48" t="n">
        <v>3.66</v>
      </c>
      <c r="AN6" s="51" t="n">
        <v>1027</v>
      </c>
      <c r="AO6" s="48" t="n">
        <v>195.13</v>
      </c>
      <c r="AP6" s="52" t="n">
        <f aca="false">IF(O6=0,0,AO6/O6)</f>
        <v>0.815658571249425</v>
      </c>
      <c r="AQ6" s="54" t="str">
        <f aca="false">IF(N6&lt;Rules!$B$10,"Under 20 clicks: too early",IF(P6=0,"20+ clicks, 0 orders: negate / pause",IF(N6&lt;Rules!$B$11,"Under 100 clicks: watch",IF(S6&gt;=Rules!$B$12,"4%+: keep",IF(S6&gt;=Rules!$B$13,"2% to 4%: hold at lower bid","Under 2%: pause")))))</f>
        <v>Under 2%: pause</v>
      </c>
      <c r="AR6" s="54" t="str">
        <f aca="false">IF(O6=0,"",IF(Q6=0,"Spend, no sales",IF(U6&gt;Rules!$B$33,"Above 3x break-even","Within 3x break-even")))</f>
        <v>Above 3x break-even</v>
      </c>
      <c r="AS6" s="54" t="str">
        <f aca="false">IF(OR(J6="",H6&lt;&gt;"ENABLED"),"",IF(J6&gt;Rules!$B$9,"Above +300% cap","OK"))</f>
        <v>Above +300% cap</v>
      </c>
      <c r="AT6" s="46" t="s">
        <v>95</v>
      </c>
      <c r="AU6" s="47" t="s">
        <v>766</v>
      </c>
      <c r="AV6" s="46" t="s">
        <v>165</v>
      </c>
      <c r="AW6" s="46" t="s">
        <v>166</v>
      </c>
      <c r="AX6" s="47" t="s">
        <v>126</v>
      </c>
      <c r="AY6" s="55"/>
    </row>
    <row r="7" customFormat="false" ht="49.25" hidden="false" customHeight="false" outlineLevel="0" collapsed="false">
      <c r="A7" s="56" t="s">
        <v>138</v>
      </c>
      <c r="B7" s="57" t="s">
        <v>767</v>
      </c>
      <c r="C7" s="57" t="s">
        <v>137</v>
      </c>
      <c r="D7" s="54" t="s">
        <v>761</v>
      </c>
      <c r="E7" s="54" t="s">
        <v>768</v>
      </c>
      <c r="F7" s="54" t="s">
        <v>769</v>
      </c>
      <c r="G7" s="57" t="s">
        <v>770</v>
      </c>
      <c r="H7" s="54" t="s">
        <v>765</v>
      </c>
      <c r="I7" s="50" t="n">
        <v>13.04</v>
      </c>
      <c r="J7" s="58" t="n">
        <v>3</v>
      </c>
      <c r="K7" s="50"/>
      <c r="L7" s="59" t="str">
        <f aca="false">IF(OR(K7="",J7=""),"",K7*(1+J7))</f>
        <v/>
      </c>
      <c r="M7" s="60" t="n">
        <v>12334</v>
      </c>
      <c r="N7" s="60" t="n">
        <v>476</v>
      </c>
      <c r="O7" s="50" t="n">
        <v>158.98</v>
      </c>
      <c r="P7" s="60" t="n">
        <v>5</v>
      </c>
      <c r="Q7" s="50" t="n">
        <v>150.95</v>
      </c>
      <c r="R7" s="61" t="n">
        <f aca="false">IF(M7=0,0,N7/M7)</f>
        <v>0.0385925085130534</v>
      </c>
      <c r="S7" s="61" t="n">
        <f aca="false">IF(N7=0,0,P7/N7)</f>
        <v>0.0105042016806723</v>
      </c>
      <c r="T7" s="59" t="n">
        <f aca="false">IF(N7=0,0,O7/N7)</f>
        <v>0.333991596638655</v>
      </c>
      <c r="U7" s="61" t="n">
        <f aca="false">IF(Q7=0,"",O7/Q7)</f>
        <v>1.05319642265651</v>
      </c>
      <c r="V7" s="62" t="n">
        <f aca="false">IF(O7=0,0,Q7/O7)</f>
        <v>0.949490501949931</v>
      </c>
      <c r="W7" s="60" t="n">
        <v>31</v>
      </c>
      <c r="X7" s="50" t="n">
        <v>44.99</v>
      </c>
      <c r="Y7" s="60" t="n">
        <v>0</v>
      </c>
      <c r="Z7" s="50" t="n">
        <v>0</v>
      </c>
      <c r="AA7" s="61" t="n">
        <f aca="false">IF(W7=0,0,Y7/W7)</f>
        <v>0</v>
      </c>
      <c r="AB7" s="61" t="str">
        <f aca="false">IF(Z7=0,"",X7/Z7)</f>
        <v/>
      </c>
      <c r="AC7" s="60" t="n">
        <v>7</v>
      </c>
      <c r="AD7" s="50" t="n">
        <v>12.48</v>
      </c>
      <c r="AE7" s="60" t="n">
        <v>0</v>
      </c>
      <c r="AF7" s="50" t="n">
        <v>0</v>
      </c>
      <c r="AG7" s="61" t="n">
        <f aca="false">IF(AC7=0,0,AE7/AC7)</f>
        <v>0</v>
      </c>
      <c r="AH7" s="60" t="n">
        <v>26</v>
      </c>
      <c r="AI7" s="50" t="n">
        <v>47.63</v>
      </c>
      <c r="AJ7" s="60" t="n">
        <v>27</v>
      </c>
      <c r="AK7" s="50" t="n">
        <v>31.46</v>
      </c>
      <c r="AL7" s="60" t="n">
        <v>1</v>
      </c>
      <c r="AM7" s="50" t="n">
        <v>0.64</v>
      </c>
      <c r="AN7" s="60" t="n">
        <v>422</v>
      </c>
      <c r="AO7" s="50" t="n">
        <v>79.25</v>
      </c>
      <c r="AP7" s="61" t="n">
        <f aca="false">IF(O7=0,0,AO7/O7)</f>
        <v>0.498490376147943</v>
      </c>
      <c r="AQ7" s="63" t="str">
        <f aca="false">IF(N7&lt;Rules!$B$10,"Under 20 clicks: too early",IF(P7=0,"20+ clicks, 0 orders: negate / pause",IF(N7&lt;Rules!$B$11,"Under 100 clicks: watch",IF(S7&gt;=Rules!$B$12,"4%+: keep",IF(S7&gt;=Rules!$B$13,"2% to 4%: hold at lower bid","Under 2%: pause")))))</f>
        <v>Under 2%: pause</v>
      </c>
      <c r="AR7" s="63" t="str">
        <f aca="false">IF(O7=0,"",IF(Q7=0,"Spend, no sales",IF(U7&gt;Rules!$B$33,"Above 3x break-even","Within 3x break-even")))</f>
        <v>Above 3x break-even</v>
      </c>
      <c r="AS7" s="63" t="str">
        <f aca="false">IF(OR(J7="",H7&lt;&gt;"ENABLED"),"",IF(J7&gt;Rules!$B$9,"Above +300% cap","OK"))</f>
        <v>OK</v>
      </c>
      <c r="AT7" s="57" t="s">
        <v>94</v>
      </c>
      <c r="AU7" s="54" t="s">
        <v>766</v>
      </c>
      <c r="AV7" s="57" t="s">
        <v>139</v>
      </c>
      <c r="AW7" s="57" t="s">
        <v>140</v>
      </c>
      <c r="AX7" s="54" t="s">
        <v>126</v>
      </c>
      <c r="AY7" s="64"/>
    </row>
    <row r="8" customFormat="false" ht="49.25" hidden="false" customHeight="false" outlineLevel="0" collapsed="false">
      <c r="A8" s="65" t="s">
        <v>143</v>
      </c>
      <c r="B8" s="66" t="s">
        <v>771</v>
      </c>
      <c r="C8" s="66" t="s">
        <v>142</v>
      </c>
      <c r="D8" s="63" t="s">
        <v>761</v>
      </c>
      <c r="E8" s="63" t="s">
        <v>772</v>
      </c>
      <c r="F8" s="63" t="s">
        <v>769</v>
      </c>
      <c r="G8" s="66" t="s">
        <v>773</v>
      </c>
      <c r="H8" s="63" t="s">
        <v>766</v>
      </c>
      <c r="I8" s="59" t="n">
        <v>40</v>
      </c>
      <c r="J8" s="67"/>
      <c r="K8" s="59"/>
      <c r="L8" s="68" t="str">
        <f aca="false">IF(OR(K8="",J8=""),"",K8*(1+J8))</f>
        <v/>
      </c>
      <c r="M8" s="69" t="n">
        <v>24103</v>
      </c>
      <c r="N8" s="69" t="n">
        <v>187</v>
      </c>
      <c r="O8" s="59" t="n">
        <v>138.56</v>
      </c>
      <c r="P8" s="69" t="n">
        <v>3</v>
      </c>
      <c r="Q8" s="59" t="n">
        <v>88.97</v>
      </c>
      <c r="R8" s="70" t="n">
        <f aca="false">IF(M8=0,0,N8/M8)</f>
        <v>0.00775837032734514</v>
      </c>
      <c r="S8" s="70" t="n">
        <f aca="false">IF(N8=0,0,P8/N8)</f>
        <v>0.0160427807486631</v>
      </c>
      <c r="T8" s="68" t="n">
        <f aca="false">IF(N8=0,0,O8/N8)</f>
        <v>0.74096256684492</v>
      </c>
      <c r="U8" s="70" t="n">
        <f aca="false">IF(Q8=0,"",O8/Q8)</f>
        <v>1.55737889176127</v>
      </c>
      <c r="V8" s="71" t="n">
        <f aca="false">IF(O8=0,0,Q8/O8)</f>
        <v>0.642104503464203</v>
      </c>
      <c r="W8" s="69" t="n">
        <v>0</v>
      </c>
      <c r="X8" s="59" t="n">
        <v>0</v>
      </c>
      <c r="Y8" s="69" t="n">
        <v>0</v>
      </c>
      <c r="Z8" s="59" t="n">
        <v>0</v>
      </c>
      <c r="AA8" s="70" t="n">
        <f aca="false">IF(W8=0,0,Y8/W8)</f>
        <v>0</v>
      </c>
      <c r="AB8" s="70" t="str">
        <f aca="false">IF(Z8=0,"",X8/Z8)</f>
        <v/>
      </c>
      <c r="AC8" s="69" t="n">
        <v>0</v>
      </c>
      <c r="AD8" s="59" t="n">
        <v>0</v>
      </c>
      <c r="AE8" s="69" t="n">
        <v>0</v>
      </c>
      <c r="AF8" s="59" t="n">
        <v>0</v>
      </c>
      <c r="AG8" s="70" t="n">
        <f aca="false">IF(AC8=0,0,AE8/AC8)</f>
        <v>0</v>
      </c>
      <c r="AH8" s="69" t="n">
        <v>15</v>
      </c>
      <c r="AI8" s="59" t="n">
        <v>19.03</v>
      </c>
      <c r="AJ8" s="69" t="n">
        <v>168</v>
      </c>
      <c r="AK8" s="59" t="n">
        <v>118.06</v>
      </c>
      <c r="AL8" s="69" t="n">
        <v>2</v>
      </c>
      <c r="AM8" s="59" t="n">
        <v>1.48</v>
      </c>
      <c r="AN8" s="69" t="n">
        <v>0</v>
      </c>
      <c r="AO8" s="59" t="n">
        <v>0</v>
      </c>
      <c r="AP8" s="70" t="n">
        <f aca="false">IF(O8=0,0,AO8/O8)</f>
        <v>0</v>
      </c>
      <c r="AQ8" s="72" t="str">
        <f aca="false">IF(N8&lt;Rules!$B$10,"Under 20 clicks: too early",IF(P8=0,"20+ clicks, 0 orders: negate / pause",IF(N8&lt;Rules!$B$11,"Under 100 clicks: watch",IF(S8&gt;=Rules!$B$12,"4%+: keep",IF(S8&gt;=Rules!$B$13,"2% to 4%: hold at lower bid","Under 2%: pause")))))</f>
        <v>Under 2%: pause</v>
      </c>
      <c r="AR8" s="72" t="str">
        <f aca="false">IF(O8=0,"",IF(Q8=0,"Spend, no sales",IF(U8&gt;Rules!$B$33,"Above 3x break-even","Within 3x break-even")))</f>
        <v>Above 3x break-even</v>
      </c>
      <c r="AS8" s="72" t="str">
        <f aca="false">IF(OR(J8="",H8&lt;&gt;"ENABLED"),"",IF(J8&gt;Rules!$B$9,"Above +300% cap","OK"))</f>
        <v/>
      </c>
      <c r="AT8" s="66" t="s">
        <v>94</v>
      </c>
      <c r="AU8" s="63" t="s">
        <v>766</v>
      </c>
      <c r="AV8" s="66" t="s">
        <v>144</v>
      </c>
      <c r="AW8" s="66" t="s">
        <v>145</v>
      </c>
      <c r="AX8" s="63" t="s">
        <v>126</v>
      </c>
      <c r="AY8" s="73"/>
    </row>
    <row r="9" customFormat="false" ht="49.25" hidden="false" customHeight="false" outlineLevel="0" collapsed="false">
      <c r="A9" s="74" t="s">
        <v>122</v>
      </c>
      <c r="B9" s="75" t="s">
        <v>774</v>
      </c>
      <c r="C9" s="75" t="s">
        <v>121</v>
      </c>
      <c r="D9" s="72" t="s">
        <v>761</v>
      </c>
      <c r="E9" s="72" t="s">
        <v>772</v>
      </c>
      <c r="F9" s="72" t="s">
        <v>769</v>
      </c>
      <c r="G9" s="75" t="s">
        <v>773</v>
      </c>
      <c r="H9" s="72" t="s">
        <v>765</v>
      </c>
      <c r="I9" s="68" t="n">
        <v>9.41</v>
      </c>
      <c r="J9" s="76" t="n">
        <v>2.8</v>
      </c>
      <c r="K9" s="68" t="n">
        <v>0.52</v>
      </c>
      <c r="L9" s="77" t="n">
        <f aca="false">IF(OR(K9="",J9=""),"",K9*(1+J9))</f>
        <v>1.976</v>
      </c>
      <c r="M9" s="78" t="n">
        <v>18482</v>
      </c>
      <c r="N9" s="78" t="n">
        <v>184</v>
      </c>
      <c r="O9" s="68" t="n">
        <v>128.41</v>
      </c>
      <c r="P9" s="78" t="n">
        <v>4</v>
      </c>
      <c r="Q9" s="68" t="n">
        <v>150.95</v>
      </c>
      <c r="R9" s="79" t="n">
        <f aca="false">IF(M9=0,0,N9/M9)</f>
        <v>0.0099556325073044</v>
      </c>
      <c r="S9" s="79" t="n">
        <f aca="false">IF(N9=0,0,P9/N9)</f>
        <v>0.0217391304347826</v>
      </c>
      <c r="T9" s="77" t="n">
        <f aca="false">IF(N9=0,0,O9/N9)</f>
        <v>0.697880434782609</v>
      </c>
      <c r="U9" s="79" t="n">
        <f aca="false">IF(Q9=0,"",O9/Q9)</f>
        <v>0.850679032792315</v>
      </c>
      <c r="V9" s="80" t="n">
        <f aca="false">IF(O9=0,0,Q9/O9)</f>
        <v>1.17553150066194</v>
      </c>
      <c r="W9" s="78" t="n">
        <v>92</v>
      </c>
      <c r="X9" s="68" t="n">
        <v>69.17</v>
      </c>
      <c r="Y9" s="78" t="n">
        <v>1</v>
      </c>
      <c r="Z9" s="68" t="n">
        <v>34.99</v>
      </c>
      <c r="AA9" s="79" t="n">
        <f aca="false">IF(W9=0,0,Y9/W9)</f>
        <v>0.0108695652173913</v>
      </c>
      <c r="AB9" s="79" t="n">
        <f aca="false">IF(Z9=0,"",X9/Z9)</f>
        <v>1.97685052872249</v>
      </c>
      <c r="AC9" s="78" t="n">
        <v>40</v>
      </c>
      <c r="AD9" s="68" t="n">
        <v>29.79</v>
      </c>
      <c r="AE9" s="78" t="n">
        <v>1</v>
      </c>
      <c r="AF9" s="68" t="n">
        <v>34.99</v>
      </c>
      <c r="AG9" s="79" t="n">
        <f aca="false">IF(AC9=0,0,AE9/AC9)</f>
        <v>0.025</v>
      </c>
      <c r="AH9" s="78" t="n">
        <v>29</v>
      </c>
      <c r="AI9" s="68" t="n">
        <v>45.82</v>
      </c>
      <c r="AJ9" s="78" t="n">
        <v>155</v>
      </c>
      <c r="AK9" s="68" t="n">
        <v>82.59</v>
      </c>
      <c r="AL9" s="78" t="n">
        <v>0</v>
      </c>
      <c r="AM9" s="68" t="n">
        <v>0</v>
      </c>
      <c r="AN9" s="78" t="n">
        <v>0</v>
      </c>
      <c r="AO9" s="68" t="n">
        <v>0</v>
      </c>
      <c r="AP9" s="79" t="n">
        <f aca="false">IF(O9=0,0,AO9/O9)</f>
        <v>0</v>
      </c>
      <c r="AQ9" s="81" t="str">
        <f aca="false">IF(N9&lt;Rules!$B$10,"Under 20 clicks: too early",IF(P9=0,"20+ clicks, 0 orders: negate / pause",IF(N9&lt;Rules!$B$11,"Under 100 clicks: watch",IF(S9&gt;=Rules!$B$12,"4%+: keep",IF(S9&gt;=Rules!$B$13,"2% to 4%: hold at lower bid","Under 2%: pause")))))</f>
        <v>2% to 4%: hold at lower bid</v>
      </c>
      <c r="AR9" s="81" t="str">
        <f aca="false">IF(O9=0,"",IF(Q9=0,"Spend, no sales",IF(U9&gt;Rules!$B$33,"Above 3x break-even","Within 3x break-even")))</f>
        <v>Above 3x break-even</v>
      </c>
      <c r="AS9" s="81" t="str">
        <f aca="false">IF(OR(J9="",H9&lt;&gt;"ENABLED"),"",IF(J9&gt;Rules!$B$9,"Above +300% cap","OK"))</f>
        <v>OK</v>
      </c>
      <c r="AT9" s="75" t="s">
        <v>92</v>
      </c>
      <c r="AU9" s="72" t="s">
        <v>765</v>
      </c>
      <c r="AV9" s="75" t="s">
        <v>123</v>
      </c>
      <c r="AW9" s="75" t="s">
        <v>124</v>
      </c>
      <c r="AX9" s="72" t="s">
        <v>126</v>
      </c>
      <c r="AY9" s="82"/>
    </row>
    <row r="10" customFormat="false" ht="49.25" hidden="false" customHeight="false" outlineLevel="0" collapsed="false">
      <c r="A10" s="83" t="s">
        <v>169</v>
      </c>
      <c r="B10" s="84" t="s">
        <v>775</v>
      </c>
      <c r="C10" s="84" t="s">
        <v>168</v>
      </c>
      <c r="D10" s="81" t="s">
        <v>637</v>
      </c>
      <c r="E10" s="81" t="s">
        <v>776</v>
      </c>
      <c r="F10" s="81" t="s">
        <v>777</v>
      </c>
      <c r="G10" s="84" t="s">
        <v>778</v>
      </c>
      <c r="H10" s="81" t="s">
        <v>765</v>
      </c>
      <c r="I10" s="77" t="n">
        <v>4.5</v>
      </c>
      <c r="J10" s="85" t="n">
        <v>2.8</v>
      </c>
      <c r="K10" s="77"/>
      <c r="L10" s="86" t="str">
        <f aca="false">IF(OR(K10="",J10=""),"",K10*(1+J10))</f>
        <v/>
      </c>
      <c r="M10" s="87" t="n">
        <v>7633</v>
      </c>
      <c r="N10" s="87" t="n">
        <v>67</v>
      </c>
      <c r="O10" s="77" t="n">
        <v>103.08</v>
      </c>
      <c r="P10" s="87" t="n">
        <v>1</v>
      </c>
      <c r="Q10" s="77" t="n">
        <v>34.99</v>
      </c>
      <c r="R10" s="88" t="n">
        <f aca="false">IF(M10=0,0,N10/M10)</f>
        <v>0.00877767588104284</v>
      </c>
      <c r="S10" s="88" t="n">
        <f aca="false">IF(N10=0,0,P10/N10)</f>
        <v>0.0149253731343284</v>
      </c>
      <c r="T10" s="86" t="n">
        <f aca="false">IF(N10=0,0,O10/N10)</f>
        <v>1.53850746268657</v>
      </c>
      <c r="U10" s="88" t="n">
        <f aca="false">IF(Q10=0,"",O10/Q10)</f>
        <v>2.94598456701915</v>
      </c>
      <c r="V10" s="89" t="n">
        <f aca="false">IF(O10=0,0,Q10/O10)</f>
        <v>0.339445091191308</v>
      </c>
      <c r="W10" s="87" t="n">
        <v>66</v>
      </c>
      <c r="X10" s="77" t="n">
        <v>102.49</v>
      </c>
      <c r="Y10" s="87" t="n">
        <v>1</v>
      </c>
      <c r="Z10" s="77" t="n">
        <v>34.99</v>
      </c>
      <c r="AA10" s="88" t="n">
        <f aca="false">IF(W10=0,0,Y10/W10)</f>
        <v>0.0151515151515152</v>
      </c>
      <c r="AB10" s="88" t="n">
        <f aca="false">IF(Z10=0,"",X10/Z10)</f>
        <v>2.92912260645899</v>
      </c>
      <c r="AC10" s="87" t="n">
        <v>48</v>
      </c>
      <c r="AD10" s="77" t="n">
        <v>84.43</v>
      </c>
      <c r="AE10" s="87" t="n">
        <v>1</v>
      </c>
      <c r="AF10" s="77" t="n">
        <v>34.99</v>
      </c>
      <c r="AG10" s="88" t="n">
        <f aca="false">IF(AC10=0,0,AE10/AC10)</f>
        <v>0.0208333333333333</v>
      </c>
      <c r="AH10" s="87" t="n">
        <v>48</v>
      </c>
      <c r="AI10" s="77" t="n">
        <v>91.87</v>
      </c>
      <c r="AJ10" s="87" t="n">
        <v>18</v>
      </c>
      <c r="AK10" s="77" t="n">
        <v>10.62</v>
      </c>
      <c r="AL10" s="87" t="n">
        <v>1</v>
      </c>
      <c r="AM10" s="77" t="n">
        <v>0.59</v>
      </c>
      <c r="AN10" s="87" t="n">
        <v>0</v>
      </c>
      <c r="AO10" s="77" t="n">
        <v>0</v>
      </c>
      <c r="AP10" s="88" t="n">
        <f aca="false">IF(O10=0,0,AO10/O10)</f>
        <v>0</v>
      </c>
      <c r="AQ10" s="90" t="str">
        <f aca="false">IF(N10&lt;Rules!$B$10,"Under 20 clicks: too early",IF(P10=0,"20+ clicks, 0 orders: negate / pause",IF(N10&lt;Rules!$B$11,"Under 100 clicks: watch",IF(S10&gt;=Rules!$B$12,"4%+: keep",IF(S10&gt;=Rules!$B$13,"2% to 4%: hold at lower bid","Under 2%: pause")))))</f>
        <v>Under 100 clicks: watch</v>
      </c>
      <c r="AR10" s="90" t="str">
        <f aca="false">IF(O10=0,"",IF(Q10=0,"Spend, no sales",IF(U10&gt;Rules!$B$33,"Above 3x break-even","Within 3x break-even")))</f>
        <v>Above 3x break-even</v>
      </c>
      <c r="AS10" s="90" t="str">
        <f aca="false">IF(OR(J10="",H10&lt;&gt;"ENABLED"),"",IF(J10&gt;Rules!$B$9,"Above +300% cap","OK"))</f>
        <v>OK</v>
      </c>
      <c r="AT10" s="84" t="s">
        <v>95</v>
      </c>
      <c r="AU10" s="81" t="s">
        <v>766</v>
      </c>
      <c r="AV10" s="84" t="s">
        <v>171</v>
      </c>
      <c r="AW10" s="84" t="s">
        <v>172</v>
      </c>
      <c r="AX10" s="81" t="s">
        <v>126</v>
      </c>
      <c r="AY10" s="91"/>
    </row>
    <row r="11" customFormat="false" ht="37.3" hidden="false" customHeight="false" outlineLevel="0" collapsed="false">
      <c r="A11" s="92" t="s">
        <v>147</v>
      </c>
      <c r="B11" s="93" t="s">
        <v>779</v>
      </c>
      <c r="C11" s="93" t="s">
        <v>146</v>
      </c>
      <c r="D11" s="90" t="s">
        <v>761</v>
      </c>
      <c r="E11" s="90" t="s">
        <v>772</v>
      </c>
      <c r="F11" s="90" t="s">
        <v>769</v>
      </c>
      <c r="G11" s="93" t="s">
        <v>773</v>
      </c>
      <c r="H11" s="90" t="s">
        <v>766</v>
      </c>
      <c r="I11" s="86" t="n">
        <v>5.72</v>
      </c>
      <c r="J11" s="94"/>
      <c r="K11" s="86"/>
      <c r="L11" s="95" t="str">
        <f aca="false">IF(OR(K11="",J11=""),"",K11*(1+J11))</f>
        <v/>
      </c>
      <c r="M11" s="96" t="n">
        <v>10439</v>
      </c>
      <c r="N11" s="96" t="n">
        <v>125</v>
      </c>
      <c r="O11" s="86" t="n">
        <v>92.74</v>
      </c>
      <c r="P11" s="96" t="n">
        <v>3</v>
      </c>
      <c r="Q11" s="86" t="n">
        <v>80.97</v>
      </c>
      <c r="R11" s="97" t="n">
        <f aca="false">IF(M11=0,0,N11/M11)</f>
        <v>0.0119743270428202</v>
      </c>
      <c r="S11" s="97" t="n">
        <f aca="false">IF(N11=0,0,P11/N11)</f>
        <v>0.024</v>
      </c>
      <c r="T11" s="95" t="n">
        <f aca="false">IF(N11=0,0,O11/N11)</f>
        <v>0.74192</v>
      </c>
      <c r="U11" s="97" t="n">
        <f aca="false">IF(Q11=0,"",O11/Q11)</f>
        <v>1.14536247993084</v>
      </c>
      <c r="V11" s="98" t="n">
        <f aca="false">IF(O11=0,0,Q11/O11)</f>
        <v>0.873086047013155</v>
      </c>
      <c r="W11" s="96" t="n">
        <v>0</v>
      </c>
      <c r="X11" s="86" t="n">
        <v>0</v>
      </c>
      <c r="Y11" s="96" t="n">
        <v>0</v>
      </c>
      <c r="Z11" s="86" t="n">
        <v>0</v>
      </c>
      <c r="AA11" s="97" t="n">
        <f aca="false">IF(W11=0,0,Y11/W11)</f>
        <v>0</v>
      </c>
      <c r="AB11" s="97" t="str">
        <f aca="false">IF(Z11=0,"",X11/Z11)</f>
        <v/>
      </c>
      <c r="AC11" s="96" t="n">
        <v>0</v>
      </c>
      <c r="AD11" s="86" t="n">
        <v>0</v>
      </c>
      <c r="AE11" s="96" t="n">
        <v>0</v>
      </c>
      <c r="AF11" s="86" t="n">
        <v>0</v>
      </c>
      <c r="AG11" s="97" t="n">
        <f aca="false">IF(AC11=0,0,AE11/AC11)</f>
        <v>0</v>
      </c>
      <c r="AH11" s="96" t="n">
        <v>39</v>
      </c>
      <c r="AI11" s="86" t="n">
        <v>47.01</v>
      </c>
      <c r="AJ11" s="96" t="n">
        <v>83</v>
      </c>
      <c r="AK11" s="86" t="n">
        <v>43.78</v>
      </c>
      <c r="AL11" s="96" t="n">
        <v>3</v>
      </c>
      <c r="AM11" s="86" t="n">
        <v>1.95</v>
      </c>
      <c r="AN11" s="96" t="n">
        <v>0</v>
      </c>
      <c r="AO11" s="86" t="n">
        <v>0</v>
      </c>
      <c r="AP11" s="97" t="n">
        <f aca="false">IF(O11=0,0,AO11/O11)</f>
        <v>0</v>
      </c>
      <c r="AQ11" s="99" t="str">
        <f aca="false">IF(N11&lt;Rules!$B$10,"Under 20 clicks: too early",IF(P11=0,"20+ clicks, 0 orders: negate / pause",IF(N11&lt;Rules!$B$11,"Under 100 clicks: watch",IF(S11&gt;=Rules!$B$12,"4%+: keep",IF(S11&gt;=Rules!$B$13,"2% to 4%: hold at lower bid","Under 2%: pause")))))</f>
        <v>2% to 4%: hold at lower bid</v>
      </c>
      <c r="AR11" s="99" t="str">
        <f aca="false">IF(O11=0,"",IF(Q11=0,"Spend, no sales",IF(U11&gt;Rules!$B$33,"Above 3x break-even","Within 3x break-even")))</f>
        <v>Above 3x break-even</v>
      </c>
      <c r="AS11" s="99" t="str">
        <f aca="false">IF(OR(J11="",H11&lt;&gt;"ENABLED"),"",IF(J11&gt;Rules!$B$9,"Above +300% cap","OK"))</f>
        <v/>
      </c>
      <c r="AT11" s="93" t="s">
        <v>94</v>
      </c>
      <c r="AU11" s="90" t="s">
        <v>766</v>
      </c>
      <c r="AV11" s="93" t="s">
        <v>148</v>
      </c>
      <c r="AW11" s="93" t="s">
        <v>149</v>
      </c>
      <c r="AX11" s="90" t="s">
        <v>126</v>
      </c>
      <c r="AY11" s="100"/>
    </row>
    <row r="12" customFormat="false" ht="37.3" hidden="false" customHeight="false" outlineLevel="0" collapsed="false">
      <c r="A12" s="101" t="s">
        <v>193</v>
      </c>
      <c r="B12" s="102" t="s">
        <v>780</v>
      </c>
      <c r="C12" s="102" t="s">
        <v>192</v>
      </c>
      <c r="D12" s="99" t="s">
        <v>761</v>
      </c>
      <c r="E12" s="99" t="s">
        <v>772</v>
      </c>
      <c r="F12" s="99" t="s">
        <v>769</v>
      </c>
      <c r="G12" s="102" t="s">
        <v>781</v>
      </c>
      <c r="H12" s="99" t="s">
        <v>766</v>
      </c>
      <c r="I12" s="95" t="n">
        <v>6.59</v>
      </c>
      <c r="J12" s="103"/>
      <c r="K12" s="95"/>
      <c r="L12" s="104" t="str">
        <f aca="false">IF(OR(K12="",J12=""),"",K12*(1+J12))</f>
        <v/>
      </c>
      <c r="M12" s="105" t="n">
        <v>6970</v>
      </c>
      <c r="N12" s="105" t="n">
        <v>71</v>
      </c>
      <c r="O12" s="95" t="n">
        <v>63.38</v>
      </c>
      <c r="P12" s="105" t="n">
        <v>0</v>
      </c>
      <c r="Q12" s="95" t="n">
        <v>0</v>
      </c>
      <c r="R12" s="106" t="n">
        <f aca="false">IF(M12=0,0,N12/M12)</f>
        <v>0.0101865136298422</v>
      </c>
      <c r="S12" s="106" t="n">
        <f aca="false">IF(N12=0,0,P12/N12)</f>
        <v>0</v>
      </c>
      <c r="T12" s="104" t="n">
        <f aca="false">IF(N12=0,0,O12/N12)</f>
        <v>0.892676056338028</v>
      </c>
      <c r="U12" s="106" t="str">
        <f aca="false">IF(Q12=0,"",O12/Q12)</f>
        <v/>
      </c>
      <c r="V12" s="107" t="n">
        <f aca="false">IF(O12=0,0,Q12/O12)</f>
        <v>0</v>
      </c>
      <c r="W12" s="105" t="n">
        <v>0</v>
      </c>
      <c r="X12" s="95" t="n">
        <v>0</v>
      </c>
      <c r="Y12" s="105" t="n">
        <v>0</v>
      </c>
      <c r="Z12" s="95" t="n">
        <v>0</v>
      </c>
      <c r="AA12" s="106" t="n">
        <f aca="false">IF(W12=0,0,Y12/W12)</f>
        <v>0</v>
      </c>
      <c r="AB12" s="106" t="str">
        <f aca="false">IF(Z12=0,"",X12/Z12)</f>
        <v/>
      </c>
      <c r="AC12" s="105" t="n">
        <v>0</v>
      </c>
      <c r="AD12" s="95" t="n">
        <v>0</v>
      </c>
      <c r="AE12" s="105" t="n">
        <v>0</v>
      </c>
      <c r="AF12" s="95" t="n">
        <v>0</v>
      </c>
      <c r="AG12" s="106" t="n">
        <f aca="false">IF(AC12=0,0,AE12/AC12)</f>
        <v>0</v>
      </c>
      <c r="AH12" s="105" t="n">
        <v>14</v>
      </c>
      <c r="AI12" s="95" t="n">
        <v>25.12</v>
      </c>
      <c r="AJ12" s="105" t="n">
        <v>57</v>
      </c>
      <c r="AK12" s="95" t="n">
        <v>38.26</v>
      </c>
      <c r="AL12" s="105" t="n">
        <v>0</v>
      </c>
      <c r="AM12" s="95" t="n">
        <v>0</v>
      </c>
      <c r="AN12" s="105" t="n">
        <v>0</v>
      </c>
      <c r="AO12" s="95" t="n">
        <v>0</v>
      </c>
      <c r="AP12" s="106" t="n">
        <f aca="false">IF(O12=0,0,AO12/O12)</f>
        <v>0</v>
      </c>
      <c r="AQ12" s="108" t="str">
        <f aca="false">IF(N12&lt;Rules!$B$10,"Under 20 clicks: too early",IF(P12=0,"20+ clicks, 0 orders: negate / pause",IF(N12&lt;Rules!$B$11,"Under 100 clicks: watch",IF(S12&gt;=Rules!$B$12,"4%+: keep",IF(S12&gt;=Rules!$B$13,"2% to 4%: hold at lower bid","Under 2%: pause")))))</f>
        <v>20+ clicks, 0 orders: negate / pause</v>
      </c>
      <c r="AR12" s="108" t="str">
        <f aca="false">IF(O12=0,"",IF(Q12=0,"Spend, no sales",IF(U12&gt;Rules!$B$33,"Above 3x break-even","Within 3x break-even")))</f>
        <v>Spend, no sales</v>
      </c>
      <c r="AS12" s="108" t="str">
        <f aca="false">IF(OR(J12="",H12&lt;&gt;"ENABLED"),"",IF(J12&gt;Rules!$B$9,"Above +300% cap","OK"))</f>
        <v/>
      </c>
      <c r="AT12" s="102" t="s">
        <v>96</v>
      </c>
      <c r="AU12" s="99" t="s">
        <v>766</v>
      </c>
      <c r="AV12" s="102" t="s">
        <v>194</v>
      </c>
      <c r="AW12" s="102" t="s">
        <v>195</v>
      </c>
      <c r="AX12" s="99" t="s">
        <v>126</v>
      </c>
      <c r="AY12" s="109"/>
    </row>
    <row r="13" customFormat="false" ht="49.25" hidden="false" customHeight="false" outlineLevel="0" collapsed="false">
      <c r="A13" s="110" t="s">
        <v>175</v>
      </c>
      <c r="B13" s="111" t="s">
        <v>782</v>
      </c>
      <c r="C13" s="111" t="s">
        <v>783</v>
      </c>
      <c r="D13" s="108" t="s">
        <v>761</v>
      </c>
      <c r="E13" s="108" t="s">
        <v>784</v>
      </c>
      <c r="F13" s="108" t="s">
        <v>769</v>
      </c>
      <c r="G13" s="111" t="s">
        <v>770</v>
      </c>
      <c r="H13" s="108" t="s">
        <v>766</v>
      </c>
      <c r="I13" s="104" t="n">
        <v>47.56</v>
      </c>
      <c r="J13" s="112"/>
      <c r="K13" s="104"/>
      <c r="L13" s="113" t="str">
        <f aca="false">IF(OR(K13="",J13=""),"",K13*(1+J13))</f>
        <v/>
      </c>
      <c r="M13" s="114" t="n">
        <v>11819</v>
      </c>
      <c r="N13" s="114" t="n">
        <v>77</v>
      </c>
      <c r="O13" s="104" t="n">
        <v>62.97</v>
      </c>
      <c r="P13" s="114" t="n">
        <v>1</v>
      </c>
      <c r="Q13" s="104" t="n">
        <v>26.99</v>
      </c>
      <c r="R13" s="115" t="n">
        <f aca="false">IF(M13=0,0,N13/M13)</f>
        <v>0.00651493358152128</v>
      </c>
      <c r="S13" s="115" t="n">
        <f aca="false">IF(N13=0,0,P13/N13)</f>
        <v>0.012987012987013</v>
      </c>
      <c r="T13" s="113" t="n">
        <f aca="false">IF(N13=0,0,O13/N13)</f>
        <v>0.817792207792208</v>
      </c>
      <c r="U13" s="115" t="n">
        <f aca="false">IF(Q13=0,"",O13/Q13)</f>
        <v>2.33308632826973</v>
      </c>
      <c r="V13" s="116" t="n">
        <f aca="false">IF(O13=0,0,Q13/O13)</f>
        <v>0.42861680165158</v>
      </c>
      <c r="W13" s="114" t="n">
        <v>0</v>
      </c>
      <c r="X13" s="104" t="n">
        <v>0</v>
      </c>
      <c r="Y13" s="114" t="n">
        <v>0</v>
      </c>
      <c r="Z13" s="104" t="n">
        <v>0</v>
      </c>
      <c r="AA13" s="115" t="n">
        <f aca="false">IF(W13=0,0,Y13/W13)</f>
        <v>0</v>
      </c>
      <c r="AB13" s="115" t="str">
        <f aca="false">IF(Z13=0,"",X13/Z13)</f>
        <v/>
      </c>
      <c r="AC13" s="114" t="n">
        <v>0</v>
      </c>
      <c r="AD13" s="104" t="n">
        <v>0</v>
      </c>
      <c r="AE13" s="114" t="n">
        <v>0</v>
      </c>
      <c r="AF13" s="104" t="n">
        <v>0</v>
      </c>
      <c r="AG13" s="115" t="n">
        <f aca="false">IF(AC13=0,0,AE13/AC13)</f>
        <v>0</v>
      </c>
      <c r="AH13" s="114" t="n">
        <v>23</v>
      </c>
      <c r="AI13" s="104" t="n">
        <v>31.46</v>
      </c>
      <c r="AJ13" s="114" t="n">
        <v>35</v>
      </c>
      <c r="AK13" s="104" t="n">
        <v>25.1</v>
      </c>
      <c r="AL13" s="114" t="n">
        <v>4</v>
      </c>
      <c r="AM13" s="104" t="n">
        <v>3.44</v>
      </c>
      <c r="AN13" s="114" t="n">
        <v>15</v>
      </c>
      <c r="AO13" s="104" t="n">
        <v>2.97</v>
      </c>
      <c r="AP13" s="115" t="n">
        <f aca="false">IF(O13=0,0,AO13/O13)</f>
        <v>0.0471653168175322</v>
      </c>
      <c r="AQ13" s="117" t="str">
        <f aca="false">IF(N13&lt;Rules!$B$10,"Under 20 clicks: too early",IF(P13=0,"20+ clicks, 0 orders: negate / pause",IF(N13&lt;Rules!$B$11,"Under 100 clicks: watch",IF(S13&gt;=Rules!$B$12,"4%+: keep",IF(S13&gt;=Rules!$B$13,"2% to 4%: hold at lower bid","Under 2%: pause")))))</f>
        <v>Under 100 clicks: watch</v>
      </c>
      <c r="AR13" s="117" t="str">
        <f aca="false">IF(O13=0,"",IF(Q13=0,"Spend, no sales",IF(U13&gt;Rules!$B$33,"Above 3x break-even","Within 3x break-even")))</f>
        <v>Above 3x break-even</v>
      </c>
      <c r="AS13" s="117" t="str">
        <f aca="false">IF(OR(J13="",H13&lt;&gt;"ENABLED"),"",IF(J13&gt;Rules!$B$9,"Above +300% cap","OK"))</f>
        <v/>
      </c>
      <c r="AT13" s="111" t="s">
        <v>95</v>
      </c>
      <c r="AU13" s="108" t="s">
        <v>766</v>
      </c>
      <c r="AV13" s="111" t="s">
        <v>176</v>
      </c>
      <c r="AW13" s="111" t="s">
        <v>177</v>
      </c>
      <c r="AX13" s="108" t="s">
        <v>126</v>
      </c>
      <c r="AY13" s="118"/>
    </row>
    <row r="14" customFormat="false" ht="37.3" hidden="false" customHeight="false" outlineLevel="0" collapsed="false">
      <c r="A14" s="119" t="s">
        <v>198</v>
      </c>
      <c r="B14" s="120" t="s">
        <v>785</v>
      </c>
      <c r="C14" s="120" t="s">
        <v>197</v>
      </c>
      <c r="D14" s="117" t="s">
        <v>761</v>
      </c>
      <c r="E14" s="117" t="s">
        <v>772</v>
      </c>
      <c r="F14" s="117" t="s">
        <v>769</v>
      </c>
      <c r="G14" s="120" t="s">
        <v>786</v>
      </c>
      <c r="H14" s="117" t="s">
        <v>766</v>
      </c>
      <c r="I14" s="113" t="n">
        <v>7.56</v>
      </c>
      <c r="J14" s="121"/>
      <c r="K14" s="113"/>
      <c r="L14" s="122" t="str">
        <f aca="false">IF(OR(K14="",J14=""),"",K14*(1+J14))</f>
        <v/>
      </c>
      <c r="M14" s="123" t="n">
        <v>10098</v>
      </c>
      <c r="N14" s="123" t="n">
        <v>72</v>
      </c>
      <c r="O14" s="113" t="n">
        <v>62.18</v>
      </c>
      <c r="P14" s="123" t="n">
        <v>0</v>
      </c>
      <c r="Q14" s="113" t="n">
        <v>0</v>
      </c>
      <c r="R14" s="124" t="n">
        <f aca="false">IF(M14=0,0,N14/M14)</f>
        <v>0.0071301247771836</v>
      </c>
      <c r="S14" s="124" t="n">
        <f aca="false">IF(N14=0,0,P14/N14)</f>
        <v>0</v>
      </c>
      <c r="T14" s="122" t="n">
        <f aca="false">IF(N14=0,0,O14/N14)</f>
        <v>0.863611111111111</v>
      </c>
      <c r="U14" s="124" t="str">
        <f aca="false">IF(Q14=0,"",O14/Q14)</f>
        <v/>
      </c>
      <c r="V14" s="125" t="n">
        <f aca="false">IF(O14=0,0,Q14/O14)</f>
        <v>0</v>
      </c>
      <c r="W14" s="123" t="n">
        <v>2</v>
      </c>
      <c r="X14" s="113" t="n">
        <v>1.36</v>
      </c>
      <c r="Y14" s="123" t="n">
        <v>0</v>
      </c>
      <c r="Z14" s="113" t="n">
        <v>0</v>
      </c>
      <c r="AA14" s="124" t="n">
        <f aca="false">IF(W14=0,0,Y14/W14)</f>
        <v>0</v>
      </c>
      <c r="AB14" s="124" t="str">
        <f aca="false">IF(Z14=0,"",X14/Z14)</f>
        <v/>
      </c>
      <c r="AC14" s="123" t="n">
        <v>0</v>
      </c>
      <c r="AD14" s="113" t="n">
        <v>0</v>
      </c>
      <c r="AE14" s="123" t="n">
        <v>0</v>
      </c>
      <c r="AF14" s="113" t="n">
        <v>0</v>
      </c>
      <c r="AG14" s="124" t="n">
        <f aca="false">IF(AC14=0,0,AE14/AC14)</f>
        <v>0</v>
      </c>
      <c r="AH14" s="123" t="n">
        <v>16</v>
      </c>
      <c r="AI14" s="113" t="n">
        <v>26.02</v>
      </c>
      <c r="AJ14" s="123" t="n">
        <v>54</v>
      </c>
      <c r="AK14" s="113" t="n">
        <v>34.98</v>
      </c>
      <c r="AL14" s="123" t="n">
        <v>2</v>
      </c>
      <c r="AM14" s="113" t="n">
        <v>1.18</v>
      </c>
      <c r="AN14" s="123" t="n">
        <v>0</v>
      </c>
      <c r="AO14" s="113" t="n">
        <v>0</v>
      </c>
      <c r="AP14" s="124" t="n">
        <f aca="false">IF(O14=0,0,AO14/O14)</f>
        <v>0</v>
      </c>
      <c r="AQ14" s="126" t="str">
        <f aca="false">IF(N14&lt;Rules!$B$10,"Under 20 clicks: too early",IF(P14=0,"20+ clicks, 0 orders: negate / pause",IF(N14&lt;Rules!$B$11,"Under 100 clicks: watch",IF(S14&gt;=Rules!$B$12,"4%+: keep",IF(S14&gt;=Rules!$B$13,"2% to 4%: hold at lower bid","Under 2%: pause")))))</f>
        <v>20+ clicks, 0 orders: negate / pause</v>
      </c>
      <c r="AR14" s="126" t="str">
        <f aca="false">IF(O14=0,"",IF(Q14=0,"Spend, no sales",IF(U14&gt;Rules!$B$33,"Above 3x break-even","Within 3x break-even")))</f>
        <v>Spend, no sales</v>
      </c>
      <c r="AS14" s="126" t="str">
        <f aca="false">IF(OR(J14="",H14&lt;&gt;"ENABLED"),"",IF(J14&gt;Rules!$B$9,"Above +300% cap","OK"))</f>
        <v/>
      </c>
      <c r="AT14" s="120" t="s">
        <v>96</v>
      </c>
      <c r="AU14" s="117" t="s">
        <v>766</v>
      </c>
      <c r="AV14" s="120" t="s">
        <v>199</v>
      </c>
      <c r="AW14" s="120" t="s">
        <v>200</v>
      </c>
      <c r="AX14" s="117" t="s">
        <v>126</v>
      </c>
      <c r="AY14" s="127"/>
    </row>
    <row r="15" customFormat="false" ht="37.3" hidden="false" customHeight="false" outlineLevel="0" collapsed="false">
      <c r="A15" s="128" t="s">
        <v>203</v>
      </c>
      <c r="B15" s="129" t="s">
        <v>787</v>
      </c>
      <c r="C15" s="129" t="s">
        <v>202</v>
      </c>
      <c r="D15" s="126" t="s">
        <v>761</v>
      </c>
      <c r="E15" s="126" t="s">
        <v>762</v>
      </c>
      <c r="F15" s="126" t="s">
        <v>763</v>
      </c>
      <c r="G15" s="129" t="s">
        <v>788</v>
      </c>
      <c r="H15" s="126" t="s">
        <v>765</v>
      </c>
      <c r="I15" s="122" t="n">
        <v>5.66</v>
      </c>
      <c r="J15" s="130" t="n">
        <v>3.56</v>
      </c>
      <c r="K15" s="122"/>
      <c r="L15" s="131" t="str">
        <f aca="false">IF(OR(K15="",J15=""),"",K15*(1+J15))</f>
        <v/>
      </c>
      <c r="M15" s="132" t="n">
        <v>3733</v>
      </c>
      <c r="N15" s="132" t="n">
        <v>128</v>
      </c>
      <c r="O15" s="122" t="n">
        <v>59.53</v>
      </c>
      <c r="P15" s="132" t="n">
        <v>3</v>
      </c>
      <c r="Q15" s="122" t="n">
        <v>88.97</v>
      </c>
      <c r="R15" s="133" t="n">
        <f aca="false">IF(M15=0,0,N15/M15)</f>
        <v>0.0342887757835521</v>
      </c>
      <c r="S15" s="133" t="n">
        <f aca="false">IF(N15=0,0,P15/N15)</f>
        <v>0.0234375</v>
      </c>
      <c r="T15" s="131" t="n">
        <f aca="false">IF(N15=0,0,O15/N15)</f>
        <v>0.465078125</v>
      </c>
      <c r="U15" s="133" t="n">
        <f aca="false">IF(Q15=0,"",O15/Q15)</f>
        <v>0.669101944475666</v>
      </c>
      <c r="V15" s="134" t="n">
        <f aca="false">IF(O15=0,0,Q15/O15)</f>
        <v>1.49454056778095</v>
      </c>
      <c r="W15" s="132" t="n">
        <v>22</v>
      </c>
      <c r="X15" s="122" t="n">
        <v>19.03</v>
      </c>
      <c r="Y15" s="132" t="n">
        <v>0</v>
      </c>
      <c r="Z15" s="122" t="n">
        <v>0</v>
      </c>
      <c r="AA15" s="133" t="n">
        <f aca="false">IF(W15=0,0,Y15/W15)</f>
        <v>0</v>
      </c>
      <c r="AB15" s="133" t="str">
        <f aca="false">IF(Z15=0,"",X15/Z15)</f>
        <v/>
      </c>
      <c r="AC15" s="132" t="n">
        <v>19</v>
      </c>
      <c r="AD15" s="122" t="n">
        <v>17.08</v>
      </c>
      <c r="AE15" s="132" t="n">
        <v>0</v>
      </c>
      <c r="AF15" s="122" t="n">
        <v>0</v>
      </c>
      <c r="AG15" s="133" t="n">
        <f aca="false">IF(AC15=0,0,AE15/AC15)</f>
        <v>0</v>
      </c>
      <c r="AH15" s="132" t="n">
        <v>8</v>
      </c>
      <c r="AI15" s="122" t="n">
        <v>12.92</v>
      </c>
      <c r="AJ15" s="132" t="n">
        <v>21</v>
      </c>
      <c r="AK15" s="122" t="n">
        <v>13.52</v>
      </c>
      <c r="AL15" s="132" t="n">
        <v>1</v>
      </c>
      <c r="AM15" s="122" t="n">
        <v>0.65</v>
      </c>
      <c r="AN15" s="132" t="n">
        <v>98</v>
      </c>
      <c r="AO15" s="122" t="n">
        <v>32.44</v>
      </c>
      <c r="AP15" s="133" t="n">
        <f aca="false">IF(O15=0,0,AO15/O15)</f>
        <v>0.54493532672602</v>
      </c>
      <c r="AQ15" s="135" t="str">
        <f aca="false">IF(N15&lt;Rules!$B$10,"Under 20 clicks: too early",IF(P15=0,"20+ clicks, 0 orders: negate / pause",IF(N15&lt;Rules!$B$11,"Under 100 clicks: watch",IF(S15&gt;=Rules!$B$12,"4%+: keep",IF(S15&gt;=Rules!$B$13,"2% to 4%: hold at lower bid","Under 2%: pause")))))</f>
        <v>2% to 4%: hold at lower bid</v>
      </c>
      <c r="AR15" s="135" t="str">
        <f aca="false">IF(O15=0,"",IF(Q15=0,"Spend, no sales",IF(U15&gt;Rules!$B$33,"Above 3x break-even","Within 3x break-even")))</f>
        <v>Above 3x break-even</v>
      </c>
      <c r="AS15" s="135" t="str">
        <f aca="false">IF(OR(J15="",H15&lt;&gt;"ENABLED"),"",IF(J15&gt;Rules!$B$9,"Above +300% cap","OK"))</f>
        <v>Above +300% cap</v>
      </c>
      <c r="AT15" s="129" t="s">
        <v>96</v>
      </c>
      <c r="AU15" s="126" t="s">
        <v>766</v>
      </c>
      <c r="AV15" s="129" t="s">
        <v>204</v>
      </c>
      <c r="AW15" s="129" t="s">
        <v>205</v>
      </c>
      <c r="AX15" s="126" t="s">
        <v>126</v>
      </c>
      <c r="AY15" s="136"/>
    </row>
    <row r="16" customFormat="false" ht="37.3" hidden="false" customHeight="false" outlineLevel="0" collapsed="false">
      <c r="A16" s="137" t="s">
        <v>128</v>
      </c>
      <c r="B16" s="138" t="s">
        <v>789</v>
      </c>
      <c r="C16" s="138" t="s">
        <v>127</v>
      </c>
      <c r="D16" s="135" t="s">
        <v>761</v>
      </c>
      <c r="E16" s="135" t="s">
        <v>772</v>
      </c>
      <c r="F16" s="135" t="s">
        <v>769</v>
      </c>
      <c r="G16" s="138" t="s">
        <v>786</v>
      </c>
      <c r="H16" s="135" t="s">
        <v>766</v>
      </c>
      <c r="I16" s="131" t="n">
        <v>6.38</v>
      </c>
      <c r="J16" s="139"/>
      <c r="K16" s="131"/>
      <c r="L16" s="140" t="str">
        <f aca="false">IF(OR(K16="",J16=""),"",K16*(1+J16))</f>
        <v/>
      </c>
      <c r="M16" s="141" t="n">
        <v>5397</v>
      </c>
      <c r="N16" s="141" t="n">
        <v>50</v>
      </c>
      <c r="O16" s="131" t="n">
        <v>44.85</v>
      </c>
      <c r="P16" s="141" t="n">
        <v>2</v>
      </c>
      <c r="Q16" s="131" t="n">
        <v>61.98</v>
      </c>
      <c r="R16" s="142" t="n">
        <f aca="false">IF(M16=0,0,N16/M16)</f>
        <v>0.00926440615156569</v>
      </c>
      <c r="S16" s="142" t="n">
        <f aca="false">IF(N16=0,0,P16/N16)</f>
        <v>0.04</v>
      </c>
      <c r="T16" s="140" t="n">
        <f aca="false">IF(N16=0,0,O16/N16)</f>
        <v>0.897</v>
      </c>
      <c r="U16" s="142" t="n">
        <f aca="false">IF(Q16=0,"",O16/Q16)</f>
        <v>0.723620522749274</v>
      </c>
      <c r="V16" s="143" t="n">
        <f aca="false">IF(O16=0,0,Q16/O16)</f>
        <v>1.3819397993311</v>
      </c>
      <c r="W16" s="141" t="n">
        <v>28</v>
      </c>
      <c r="X16" s="131" t="n">
        <v>27.71</v>
      </c>
      <c r="Y16" s="141" t="n">
        <v>2</v>
      </c>
      <c r="Z16" s="131" t="n">
        <v>61.98</v>
      </c>
      <c r="AA16" s="142" t="n">
        <f aca="false">IF(W16=0,0,Y16/W16)</f>
        <v>0.0714285714285714</v>
      </c>
      <c r="AB16" s="142" t="n">
        <f aca="false">IF(Z16=0,"",X16/Z16)</f>
        <v>0.447079703130042</v>
      </c>
      <c r="AC16" s="141" t="n">
        <v>0</v>
      </c>
      <c r="AD16" s="131" t="n">
        <v>0</v>
      </c>
      <c r="AE16" s="141" t="n">
        <v>0</v>
      </c>
      <c r="AF16" s="131" t="n">
        <v>0</v>
      </c>
      <c r="AG16" s="142" t="n">
        <f aca="false">IF(AC16=0,0,AE16/AC16)</f>
        <v>0</v>
      </c>
      <c r="AH16" s="141" t="n">
        <v>19</v>
      </c>
      <c r="AI16" s="131" t="n">
        <v>23.58</v>
      </c>
      <c r="AJ16" s="141" t="n">
        <v>30</v>
      </c>
      <c r="AK16" s="131" t="n">
        <v>20.7</v>
      </c>
      <c r="AL16" s="141" t="n">
        <v>1</v>
      </c>
      <c r="AM16" s="131" t="n">
        <v>0.57</v>
      </c>
      <c r="AN16" s="141" t="n">
        <v>0</v>
      </c>
      <c r="AO16" s="131" t="n">
        <v>0</v>
      </c>
      <c r="AP16" s="142" t="n">
        <f aca="false">IF(O16=0,0,AO16/O16)</f>
        <v>0</v>
      </c>
      <c r="AQ16" s="144" t="str">
        <f aca="false">IF(N16&lt;Rules!$B$10,"Under 20 clicks: too early",IF(P16=0,"20+ clicks, 0 orders: negate / pause",IF(N16&lt;Rules!$B$11,"Under 100 clicks: watch",IF(S16&gt;=Rules!$B$12,"4%+: keep",IF(S16&gt;=Rules!$B$13,"2% to 4%: hold at lower bid","Under 2%: pause")))))</f>
        <v>Under 100 clicks: watch</v>
      </c>
      <c r="AR16" s="144" t="str">
        <f aca="false">IF(O16=0,"",IF(Q16=0,"Spend, no sales",IF(U16&gt;Rules!$B$33,"Above 3x break-even","Within 3x break-even")))</f>
        <v>Above 3x break-even</v>
      </c>
      <c r="AS16" s="144" t="str">
        <f aca="false">IF(OR(J16="",H16&lt;&gt;"ENABLED"),"",IF(J16&gt;Rules!$B$9,"Above +300% cap","OK"))</f>
        <v/>
      </c>
      <c r="AT16" s="138" t="s">
        <v>92</v>
      </c>
      <c r="AU16" s="135" t="s">
        <v>765</v>
      </c>
      <c r="AV16" s="138" t="s">
        <v>129</v>
      </c>
      <c r="AW16" s="138" t="s">
        <v>130</v>
      </c>
      <c r="AX16" s="135" t="s">
        <v>126</v>
      </c>
      <c r="AY16" s="145"/>
    </row>
    <row r="17" customFormat="false" ht="73.1" hidden="false" customHeight="false" outlineLevel="0" collapsed="false">
      <c r="A17" s="146" t="s">
        <v>151</v>
      </c>
      <c r="B17" s="147" t="s">
        <v>790</v>
      </c>
      <c r="C17" s="147" t="s">
        <v>150</v>
      </c>
      <c r="D17" s="144" t="s">
        <v>761</v>
      </c>
      <c r="E17" s="144" t="s">
        <v>772</v>
      </c>
      <c r="F17" s="144" t="s">
        <v>769</v>
      </c>
      <c r="G17" s="147" t="s">
        <v>773</v>
      </c>
      <c r="H17" s="144" t="s">
        <v>766</v>
      </c>
      <c r="I17" s="140" t="n">
        <v>30</v>
      </c>
      <c r="J17" s="148"/>
      <c r="K17" s="140"/>
      <c r="L17" s="149" t="str">
        <f aca="false">IF(OR(K17="",J17=""),"",K17*(1+J17))</f>
        <v/>
      </c>
      <c r="M17" s="150" t="n">
        <v>3481</v>
      </c>
      <c r="N17" s="150" t="n">
        <v>44</v>
      </c>
      <c r="O17" s="140" t="n">
        <v>42.81</v>
      </c>
      <c r="P17" s="150" t="n">
        <v>0</v>
      </c>
      <c r="Q17" s="140" t="n">
        <v>0</v>
      </c>
      <c r="R17" s="151" t="n">
        <f aca="false">IF(M17=0,0,N17/M17)</f>
        <v>0.0126400459638035</v>
      </c>
      <c r="S17" s="151" t="n">
        <f aca="false">IF(N17=0,0,P17/N17)</f>
        <v>0</v>
      </c>
      <c r="T17" s="149" t="n">
        <f aca="false">IF(N17=0,0,O17/N17)</f>
        <v>0.972954545454546</v>
      </c>
      <c r="U17" s="151" t="str">
        <f aca="false">IF(Q17=0,"",O17/Q17)</f>
        <v/>
      </c>
      <c r="V17" s="152" t="n">
        <f aca="false">IF(O17=0,0,Q17/O17)</f>
        <v>0</v>
      </c>
      <c r="W17" s="150" t="n">
        <v>0</v>
      </c>
      <c r="X17" s="140" t="n">
        <v>0</v>
      </c>
      <c r="Y17" s="150" t="n">
        <v>0</v>
      </c>
      <c r="Z17" s="140" t="n">
        <v>0</v>
      </c>
      <c r="AA17" s="151" t="n">
        <f aca="false">IF(W17=0,0,Y17/W17)</f>
        <v>0</v>
      </c>
      <c r="AB17" s="151" t="str">
        <f aca="false">IF(Z17=0,"",X17/Z17)</f>
        <v/>
      </c>
      <c r="AC17" s="150" t="n">
        <v>0</v>
      </c>
      <c r="AD17" s="140" t="n">
        <v>0</v>
      </c>
      <c r="AE17" s="150" t="n">
        <v>0</v>
      </c>
      <c r="AF17" s="140" t="n">
        <v>0</v>
      </c>
      <c r="AG17" s="151" t="n">
        <f aca="false">IF(AC17=0,0,AE17/AC17)</f>
        <v>0</v>
      </c>
      <c r="AH17" s="150" t="n">
        <v>19</v>
      </c>
      <c r="AI17" s="140" t="n">
        <v>27.01</v>
      </c>
      <c r="AJ17" s="150" t="n">
        <v>19</v>
      </c>
      <c r="AK17" s="140" t="n">
        <v>12.51</v>
      </c>
      <c r="AL17" s="150" t="n">
        <v>5</v>
      </c>
      <c r="AM17" s="140" t="n">
        <v>3.29</v>
      </c>
      <c r="AN17" s="150" t="n">
        <v>0</v>
      </c>
      <c r="AO17" s="140" t="n">
        <v>0</v>
      </c>
      <c r="AP17" s="151" t="n">
        <f aca="false">IF(O17=0,0,AO17/O17)</f>
        <v>0</v>
      </c>
      <c r="AQ17" s="153" t="str">
        <f aca="false">IF(N17&lt;Rules!$B$10,"Under 20 clicks: too early",IF(P17=0,"20+ clicks, 0 orders: negate / pause",IF(N17&lt;Rules!$B$11,"Under 100 clicks: watch",IF(S17&gt;=Rules!$B$12,"4%+: keep",IF(S17&gt;=Rules!$B$13,"2% to 4%: hold at lower bid","Under 2%: pause")))))</f>
        <v>20+ clicks, 0 orders: negate / pause</v>
      </c>
      <c r="AR17" s="153" t="str">
        <f aca="false">IF(O17=0,"",IF(Q17=0,"Spend, no sales",IF(U17&gt;Rules!$B$33,"Above 3x break-even","Within 3x break-even")))</f>
        <v>Spend, no sales</v>
      </c>
      <c r="AS17" s="153" t="str">
        <f aca="false">IF(OR(J17="",H17&lt;&gt;"ENABLED"),"",IF(J17&gt;Rules!$B$9,"Above +300% cap","OK"))</f>
        <v/>
      </c>
      <c r="AT17" s="147" t="s">
        <v>94</v>
      </c>
      <c r="AU17" s="144" t="s">
        <v>766</v>
      </c>
      <c r="AV17" s="147" t="s">
        <v>152</v>
      </c>
      <c r="AW17" s="147" t="s">
        <v>153</v>
      </c>
      <c r="AX17" s="144" t="s">
        <v>126</v>
      </c>
      <c r="AY17" s="154"/>
    </row>
    <row r="18" customFormat="false" ht="37.3" hidden="false" customHeight="false" outlineLevel="0" collapsed="false">
      <c r="A18" s="155" t="s">
        <v>156</v>
      </c>
      <c r="B18" s="156" t="s">
        <v>791</v>
      </c>
      <c r="C18" s="156" t="s">
        <v>155</v>
      </c>
      <c r="D18" s="153" t="s">
        <v>761</v>
      </c>
      <c r="E18" s="153" t="s">
        <v>784</v>
      </c>
      <c r="F18" s="153" t="s">
        <v>769</v>
      </c>
      <c r="G18" s="156" t="s">
        <v>770</v>
      </c>
      <c r="H18" s="153" t="s">
        <v>766</v>
      </c>
      <c r="I18" s="149" t="n">
        <v>7.11</v>
      </c>
      <c r="J18" s="157"/>
      <c r="K18" s="149"/>
      <c r="L18" s="158" t="str">
        <f aca="false">IF(OR(K18="",J18=""),"",K18*(1+J18))</f>
        <v/>
      </c>
      <c r="M18" s="159" t="n">
        <v>2574</v>
      </c>
      <c r="N18" s="159" t="n">
        <v>35</v>
      </c>
      <c r="O18" s="149" t="n">
        <v>36.98</v>
      </c>
      <c r="P18" s="159" t="n">
        <v>1</v>
      </c>
      <c r="Q18" s="149" t="n">
        <v>34.99</v>
      </c>
      <c r="R18" s="160" t="n">
        <f aca="false">IF(M18=0,0,N18/M18)</f>
        <v>0.0135975135975136</v>
      </c>
      <c r="S18" s="160" t="n">
        <f aca="false">IF(N18=0,0,P18/N18)</f>
        <v>0.0285714285714286</v>
      </c>
      <c r="T18" s="158" t="n">
        <f aca="false">IF(N18=0,0,O18/N18)</f>
        <v>1.05657142857143</v>
      </c>
      <c r="U18" s="160" t="n">
        <f aca="false">IF(Q18=0,"",O18/Q18)</f>
        <v>1.05687339239783</v>
      </c>
      <c r="V18" s="161" t="n">
        <f aca="false">IF(O18=0,0,Q18/O18)</f>
        <v>0.946187128177393</v>
      </c>
      <c r="W18" s="159" t="n">
        <v>0</v>
      </c>
      <c r="X18" s="149" t="n">
        <v>0</v>
      </c>
      <c r="Y18" s="159" t="n">
        <v>0</v>
      </c>
      <c r="Z18" s="149" t="n">
        <v>0</v>
      </c>
      <c r="AA18" s="160" t="n">
        <f aca="false">IF(W18=0,0,Y18/W18)</f>
        <v>0</v>
      </c>
      <c r="AB18" s="160" t="str">
        <f aca="false">IF(Z18=0,"",X18/Z18)</f>
        <v/>
      </c>
      <c r="AC18" s="159" t="n">
        <v>0</v>
      </c>
      <c r="AD18" s="149" t="n">
        <v>0</v>
      </c>
      <c r="AE18" s="159" t="n">
        <v>0</v>
      </c>
      <c r="AF18" s="149" t="n">
        <v>0</v>
      </c>
      <c r="AG18" s="160" t="n">
        <f aca="false">IF(AC18=0,0,AE18/AC18)</f>
        <v>0</v>
      </c>
      <c r="AH18" s="159" t="n">
        <v>26</v>
      </c>
      <c r="AI18" s="149" t="n">
        <v>31.61</v>
      </c>
      <c r="AJ18" s="159" t="n">
        <v>9</v>
      </c>
      <c r="AK18" s="149" t="n">
        <v>5.37</v>
      </c>
      <c r="AL18" s="159" t="n">
        <v>0</v>
      </c>
      <c r="AM18" s="149" t="n">
        <v>0</v>
      </c>
      <c r="AN18" s="159" t="n">
        <v>0</v>
      </c>
      <c r="AO18" s="149" t="n">
        <v>0</v>
      </c>
      <c r="AP18" s="160" t="n">
        <f aca="false">IF(O18=0,0,AO18/O18)</f>
        <v>0</v>
      </c>
      <c r="AQ18" s="162" t="str">
        <f aca="false">IF(N18&lt;Rules!$B$10,"Under 20 clicks: too early",IF(P18=0,"20+ clicks, 0 orders: negate / pause",IF(N18&lt;Rules!$B$11,"Under 100 clicks: watch",IF(S18&gt;=Rules!$B$12,"4%+: keep",IF(S18&gt;=Rules!$B$13,"2% to 4%: hold at lower bid","Under 2%: pause")))))</f>
        <v>Under 100 clicks: watch</v>
      </c>
      <c r="AR18" s="162" t="str">
        <f aca="false">IF(O18=0,"",IF(Q18=0,"Spend, no sales",IF(U18&gt;Rules!$B$33,"Above 3x break-even","Within 3x break-even")))</f>
        <v>Above 3x break-even</v>
      </c>
      <c r="AS18" s="162" t="str">
        <f aca="false">IF(OR(J18="",H18&lt;&gt;"ENABLED"),"",IF(J18&gt;Rules!$B$9,"Above +300% cap","OK"))</f>
        <v/>
      </c>
      <c r="AT18" s="156" t="s">
        <v>94</v>
      </c>
      <c r="AU18" s="153" t="s">
        <v>766</v>
      </c>
      <c r="AV18" s="156" t="s">
        <v>144</v>
      </c>
      <c r="AW18" s="156" t="s">
        <v>157</v>
      </c>
      <c r="AX18" s="153" t="s">
        <v>126</v>
      </c>
      <c r="AY18" s="163"/>
    </row>
    <row r="19" customFormat="false" ht="37.3" hidden="false" customHeight="false" outlineLevel="0" collapsed="false">
      <c r="A19" s="164" t="s">
        <v>180</v>
      </c>
      <c r="B19" s="165" t="s">
        <v>792</v>
      </c>
      <c r="C19" s="165" t="s">
        <v>793</v>
      </c>
      <c r="D19" s="162" t="s">
        <v>761</v>
      </c>
      <c r="E19" s="162" t="s">
        <v>768</v>
      </c>
      <c r="F19" s="162" t="s">
        <v>769</v>
      </c>
      <c r="G19" s="165" t="s">
        <v>770</v>
      </c>
      <c r="H19" s="162" t="s">
        <v>766</v>
      </c>
      <c r="I19" s="158" t="n">
        <v>49.63</v>
      </c>
      <c r="J19" s="166"/>
      <c r="K19" s="158"/>
      <c r="L19" s="167" t="str">
        <f aca="false">IF(OR(K19="",J19=""),"",K19*(1+J19))</f>
        <v/>
      </c>
      <c r="M19" s="168" t="n">
        <v>2383</v>
      </c>
      <c r="N19" s="168" t="n">
        <v>38</v>
      </c>
      <c r="O19" s="158" t="n">
        <v>32.9</v>
      </c>
      <c r="P19" s="168" t="n">
        <v>1</v>
      </c>
      <c r="Q19" s="158" t="n">
        <v>34.99</v>
      </c>
      <c r="R19" s="169" t="n">
        <f aca="false">IF(M19=0,0,N19/M19)</f>
        <v>0.0159462861938733</v>
      </c>
      <c r="S19" s="169" t="n">
        <f aca="false">IF(N19=0,0,P19/N19)</f>
        <v>0.0263157894736842</v>
      </c>
      <c r="T19" s="167" t="n">
        <f aca="false">IF(N19=0,0,O19/N19)</f>
        <v>0.86578947368421</v>
      </c>
      <c r="U19" s="169" t="n">
        <f aca="false">IF(Q19=0,"",O19/Q19)</f>
        <v>0.940268648185196</v>
      </c>
      <c r="V19" s="170" t="n">
        <f aca="false">IF(O19=0,0,Q19/O19)</f>
        <v>1.06352583586626</v>
      </c>
      <c r="W19" s="168" t="n">
        <v>1</v>
      </c>
      <c r="X19" s="158" t="n">
        <v>1.16</v>
      </c>
      <c r="Y19" s="168" t="n">
        <v>0</v>
      </c>
      <c r="Z19" s="158" t="n">
        <v>0</v>
      </c>
      <c r="AA19" s="169" t="n">
        <f aca="false">IF(W19=0,0,Y19/W19)</f>
        <v>0</v>
      </c>
      <c r="AB19" s="169" t="str">
        <f aca="false">IF(Z19=0,"",X19/Z19)</f>
        <v/>
      </c>
      <c r="AC19" s="168" t="n">
        <v>0</v>
      </c>
      <c r="AD19" s="158" t="n">
        <v>0</v>
      </c>
      <c r="AE19" s="168" t="n">
        <v>0</v>
      </c>
      <c r="AF19" s="158" t="n">
        <v>0</v>
      </c>
      <c r="AG19" s="169" t="n">
        <f aca="false">IF(AC19=0,0,AE19/AC19)</f>
        <v>0</v>
      </c>
      <c r="AH19" s="168" t="n">
        <v>16</v>
      </c>
      <c r="AI19" s="158" t="n">
        <v>20.58</v>
      </c>
      <c r="AJ19" s="168" t="n">
        <v>5</v>
      </c>
      <c r="AK19" s="158" t="n">
        <v>5.5</v>
      </c>
      <c r="AL19" s="168" t="n">
        <v>5</v>
      </c>
      <c r="AM19" s="158" t="n">
        <v>4.41</v>
      </c>
      <c r="AN19" s="168" t="n">
        <v>12</v>
      </c>
      <c r="AO19" s="158" t="n">
        <v>2.41</v>
      </c>
      <c r="AP19" s="169" t="n">
        <f aca="false">IF(O19=0,0,AO19/O19)</f>
        <v>0.0732522796352584</v>
      </c>
      <c r="AQ19" s="171" t="str">
        <f aca="false">IF(N19&lt;Rules!$B$10,"Under 20 clicks: too early",IF(P19=0,"20+ clicks, 0 orders: negate / pause",IF(N19&lt;Rules!$B$11,"Under 100 clicks: watch",IF(S19&gt;=Rules!$B$12,"4%+: keep",IF(S19&gt;=Rules!$B$13,"2% to 4%: hold at lower bid","Under 2%: pause")))))</f>
        <v>Under 100 clicks: watch</v>
      </c>
      <c r="AR19" s="171" t="str">
        <f aca="false">IF(O19=0,"",IF(Q19=0,"Spend, no sales",IF(U19&gt;Rules!$B$33,"Above 3x break-even","Within 3x break-even")))</f>
        <v>Above 3x break-even</v>
      </c>
      <c r="AS19" s="171" t="str">
        <f aca="false">IF(OR(J19="",H19&lt;&gt;"ENABLED"),"",IF(J19&gt;Rules!$B$9,"Above +300% cap","OK"))</f>
        <v/>
      </c>
      <c r="AT19" s="165" t="s">
        <v>95</v>
      </c>
      <c r="AU19" s="162" t="s">
        <v>766</v>
      </c>
      <c r="AV19" s="165" t="s">
        <v>176</v>
      </c>
      <c r="AW19" s="165" t="s">
        <v>181</v>
      </c>
      <c r="AX19" s="162" t="s">
        <v>126</v>
      </c>
      <c r="AY19" s="172"/>
    </row>
    <row r="20" customFormat="false" ht="37.3" hidden="false" customHeight="false" outlineLevel="0" collapsed="false">
      <c r="A20" s="173" t="s">
        <v>208</v>
      </c>
      <c r="B20" s="174" t="s">
        <v>794</v>
      </c>
      <c r="C20" s="174" t="s">
        <v>207</v>
      </c>
      <c r="D20" s="171" t="s">
        <v>761</v>
      </c>
      <c r="E20" s="171" t="s">
        <v>762</v>
      </c>
      <c r="F20" s="171" t="s">
        <v>763</v>
      </c>
      <c r="G20" s="174" t="s">
        <v>788</v>
      </c>
      <c r="H20" s="171" t="s">
        <v>765</v>
      </c>
      <c r="I20" s="167" t="n">
        <v>5.66</v>
      </c>
      <c r="J20" s="175" t="n">
        <v>3</v>
      </c>
      <c r="K20" s="167"/>
      <c r="L20" s="176" t="str">
        <f aca="false">IF(OR(K20="",J20=""),"",K20*(1+J20))</f>
        <v/>
      </c>
      <c r="M20" s="177" t="n">
        <v>1075</v>
      </c>
      <c r="N20" s="177" t="n">
        <v>23</v>
      </c>
      <c r="O20" s="167" t="n">
        <v>29.74</v>
      </c>
      <c r="P20" s="177" t="n">
        <v>0</v>
      </c>
      <c r="Q20" s="167" t="n">
        <v>0</v>
      </c>
      <c r="R20" s="178" t="n">
        <f aca="false">IF(M20=0,0,N20/M20)</f>
        <v>0.0213953488372093</v>
      </c>
      <c r="S20" s="178" t="n">
        <f aca="false">IF(N20=0,0,P20/N20)</f>
        <v>0</v>
      </c>
      <c r="T20" s="176" t="n">
        <f aca="false">IF(N20=0,0,O20/N20)</f>
        <v>1.29304347826087</v>
      </c>
      <c r="U20" s="178" t="str">
        <f aca="false">IF(Q20=0,"",O20/Q20)</f>
        <v/>
      </c>
      <c r="V20" s="179" t="n">
        <f aca="false">IF(O20=0,0,Q20/O20)</f>
        <v>0</v>
      </c>
      <c r="W20" s="177" t="n">
        <v>14</v>
      </c>
      <c r="X20" s="167" t="n">
        <v>19</v>
      </c>
      <c r="Y20" s="177" t="n">
        <v>0</v>
      </c>
      <c r="Z20" s="167" t="n">
        <v>0</v>
      </c>
      <c r="AA20" s="178" t="n">
        <f aca="false">IF(W20=0,0,Y20/W20)</f>
        <v>0</v>
      </c>
      <c r="AB20" s="178" t="str">
        <f aca="false">IF(Z20=0,"",X20/Z20)</f>
        <v/>
      </c>
      <c r="AC20" s="177" t="n">
        <v>7</v>
      </c>
      <c r="AD20" s="167" t="n">
        <v>7.4</v>
      </c>
      <c r="AE20" s="177" t="n">
        <v>0</v>
      </c>
      <c r="AF20" s="167" t="n">
        <v>0</v>
      </c>
      <c r="AG20" s="178" t="n">
        <f aca="false">IF(AC20=0,0,AE20/AC20)</f>
        <v>0</v>
      </c>
      <c r="AH20" s="177" t="n">
        <v>18</v>
      </c>
      <c r="AI20" s="167" t="n">
        <v>26.5</v>
      </c>
      <c r="AJ20" s="177" t="n">
        <v>4</v>
      </c>
      <c r="AK20" s="167" t="n">
        <v>2.59</v>
      </c>
      <c r="AL20" s="177" t="n">
        <v>1</v>
      </c>
      <c r="AM20" s="167" t="n">
        <v>0.65</v>
      </c>
      <c r="AN20" s="177" t="n">
        <v>0</v>
      </c>
      <c r="AO20" s="167" t="n">
        <v>0</v>
      </c>
      <c r="AP20" s="178" t="n">
        <f aca="false">IF(O20=0,0,AO20/O20)</f>
        <v>0</v>
      </c>
      <c r="AQ20" s="180" t="str">
        <f aca="false">IF(N20&lt;Rules!$B$10,"Under 20 clicks: too early",IF(P20=0,"20+ clicks, 0 orders: negate / pause",IF(N20&lt;Rules!$B$11,"Under 100 clicks: watch",IF(S20&gt;=Rules!$B$12,"4%+: keep",IF(S20&gt;=Rules!$B$13,"2% to 4%: hold at lower bid","Under 2%: pause")))))</f>
        <v>20+ clicks, 0 orders: negate / pause</v>
      </c>
      <c r="AR20" s="180" t="str">
        <f aca="false">IF(O20=0,"",IF(Q20=0,"Spend, no sales",IF(U20&gt;Rules!$B$33,"Above 3x break-even","Within 3x break-even")))</f>
        <v>Spend, no sales</v>
      </c>
      <c r="AS20" s="180" t="str">
        <f aca="false">IF(OR(J20="",H20&lt;&gt;"ENABLED"),"",IF(J20&gt;Rules!$B$9,"Above +300% cap","OK"))</f>
        <v>OK</v>
      </c>
      <c r="AT20" s="174" t="s">
        <v>96</v>
      </c>
      <c r="AU20" s="171" t="s">
        <v>766</v>
      </c>
      <c r="AV20" s="174" t="s">
        <v>204</v>
      </c>
      <c r="AW20" s="174" t="s">
        <v>209</v>
      </c>
      <c r="AX20" s="171" t="s">
        <v>126</v>
      </c>
      <c r="AY20" s="181"/>
    </row>
    <row r="21" customFormat="false" ht="37.3" hidden="false" customHeight="false" outlineLevel="0" collapsed="false">
      <c r="A21" s="182" t="s">
        <v>211</v>
      </c>
      <c r="B21" s="183" t="s">
        <v>795</v>
      </c>
      <c r="C21" s="183" t="s">
        <v>210</v>
      </c>
      <c r="D21" s="180" t="s">
        <v>761</v>
      </c>
      <c r="E21" s="180" t="s">
        <v>796</v>
      </c>
      <c r="F21" s="180" t="s">
        <v>769</v>
      </c>
      <c r="G21" s="183" t="s">
        <v>786</v>
      </c>
      <c r="H21" s="180" t="s">
        <v>765</v>
      </c>
      <c r="I21" s="176" t="n">
        <v>12.14</v>
      </c>
      <c r="J21" s="184" t="n">
        <v>3.3</v>
      </c>
      <c r="K21" s="176"/>
      <c r="L21" s="185" t="str">
        <f aca="false">IF(OR(K21="",J21=""),"",K21*(1+J21))</f>
        <v/>
      </c>
      <c r="M21" s="186" t="n">
        <v>1723</v>
      </c>
      <c r="N21" s="186" t="n">
        <v>18</v>
      </c>
      <c r="O21" s="176" t="n">
        <v>28.44</v>
      </c>
      <c r="P21" s="186" t="n">
        <v>0</v>
      </c>
      <c r="Q21" s="176" t="n">
        <v>0</v>
      </c>
      <c r="R21" s="187" t="n">
        <f aca="false">IF(M21=0,0,N21/M21)</f>
        <v>0.0104468949506674</v>
      </c>
      <c r="S21" s="187" t="n">
        <f aca="false">IF(N21=0,0,P21/N21)</f>
        <v>0</v>
      </c>
      <c r="T21" s="185" t="n">
        <f aca="false">IF(N21=0,0,O21/N21)</f>
        <v>1.58</v>
      </c>
      <c r="U21" s="187" t="str">
        <f aca="false">IF(Q21=0,"",O21/Q21)</f>
        <v/>
      </c>
      <c r="V21" s="188" t="n">
        <f aca="false">IF(O21=0,0,Q21/O21)</f>
        <v>0</v>
      </c>
      <c r="W21" s="186" t="n">
        <v>7</v>
      </c>
      <c r="X21" s="176" t="n">
        <v>10.12</v>
      </c>
      <c r="Y21" s="186" t="n">
        <v>0</v>
      </c>
      <c r="Z21" s="176" t="n">
        <v>0</v>
      </c>
      <c r="AA21" s="187" t="n">
        <f aca="false">IF(W21=0,0,Y21/W21)</f>
        <v>0</v>
      </c>
      <c r="AB21" s="187" t="str">
        <f aca="false">IF(Z21=0,"",X21/Z21)</f>
        <v/>
      </c>
      <c r="AC21" s="186" t="n">
        <v>5</v>
      </c>
      <c r="AD21" s="176" t="n">
        <v>6.12</v>
      </c>
      <c r="AE21" s="186" t="n">
        <v>0</v>
      </c>
      <c r="AF21" s="176" t="n">
        <v>0</v>
      </c>
      <c r="AG21" s="187" t="n">
        <f aca="false">IF(AC21=0,0,AE21/AC21)</f>
        <v>0</v>
      </c>
      <c r="AH21" s="186" t="n">
        <v>9</v>
      </c>
      <c r="AI21" s="176" t="n">
        <v>19.87</v>
      </c>
      <c r="AJ21" s="186" t="n">
        <v>7</v>
      </c>
      <c r="AK21" s="176" t="n">
        <v>6.71</v>
      </c>
      <c r="AL21" s="186" t="n">
        <v>2</v>
      </c>
      <c r="AM21" s="176" t="n">
        <v>1.86</v>
      </c>
      <c r="AN21" s="186" t="n">
        <v>0</v>
      </c>
      <c r="AO21" s="176" t="n">
        <v>0</v>
      </c>
      <c r="AP21" s="187" t="n">
        <f aca="false">IF(O21=0,0,AO21/O21)</f>
        <v>0</v>
      </c>
      <c r="AQ21" s="189" t="str">
        <f aca="false">IF(N21&lt;Rules!$B$10,"Under 20 clicks: too early",IF(P21=0,"20+ clicks, 0 orders: negate / pause",IF(N21&lt;Rules!$B$11,"Under 100 clicks: watch",IF(S21&gt;=Rules!$B$12,"4%+: keep",IF(S21&gt;=Rules!$B$13,"2% to 4%: hold at lower bid","Under 2%: pause")))))</f>
        <v>Under 20 clicks: too early</v>
      </c>
      <c r="AR21" s="189" t="str">
        <f aca="false">IF(O21=0,"",IF(Q21=0,"Spend, no sales",IF(U21&gt;Rules!$B$33,"Above 3x break-even","Within 3x break-even")))</f>
        <v>Spend, no sales</v>
      </c>
      <c r="AS21" s="189" t="str">
        <f aca="false">IF(OR(J21="",H21&lt;&gt;"ENABLED"),"",IF(J21&gt;Rules!$B$9,"Above +300% cap","OK"))</f>
        <v>Above +300% cap</v>
      </c>
      <c r="AT21" s="183" t="s">
        <v>96</v>
      </c>
      <c r="AU21" s="180" t="s">
        <v>766</v>
      </c>
      <c r="AV21" s="183" t="s">
        <v>204</v>
      </c>
      <c r="AW21" s="183" t="s">
        <v>212</v>
      </c>
      <c r="AX21" s="180" t="s">
        <v>126</v>
      </c>
      <c r="AY21" s="190"/>
    </row>
    <row r="22" customFormat="false" ht="37.3" hidden="false" customHeight="false" outlineLevel="0" collapsed="false">
      <c r="A22" s="191" t="s">
        <v>215</v>
      </c>
      <c r="B22" s="192" t="s">
        <v>797</v>
      </c>
      <c r="C22" s="192" t="s">
        <v>214</v>
      </c>
      <c r="D22" s="189" t="s">
        <v>761</v>
      </c>
      <c r="E22" s="189" t="s">
        <v>762</v>
      </c>
      <c r="F22" s="189" t="s">
        <v>763</v>
      </c>
      <c r="G22" s="192" t="s">
        <v>788</v>
      </c>
      <c r="H22" s="189" t="s">
        <v>766</v>
      </c>
      <c r="I22" s="185" t="n">
        <v>5.66</v>
      </c>
      <c r="J22" s="193"/>
      <c r="K22" s="185"/>
      <c r="L22" s="194" t="str">
        <f aca="false">IF(OR(K22="",J22=""),"",K22*(1+J22))</f>
        <v/>
      </c>
      <c r="M22" s="195" t="n">
        <v>1674</v>
      </c>
      <c r="N22" s="195" t="n">
        <v>24</v>
      </c>
      <c r="O22" s="185" t="n">
        <v>28.09</v>
      </c>
      <c r="P22" s="195" t="n">
        <v>0</v>
      </c>
      <c r="Q22" s="185" t="n">
        <v>0</v>
      </c>
      <c r="R22" s="196" t="n">
        <f aca="false">IF(M22=0,0,N22/M22)</f>
        <v>0.014336917562724</v>
      </c>
      <c r="S22" s="196" t="n">
        <f aca="false">IF(N22=0,0,P22/N22)</f>
        <v>0</v>
      </c>
      <c r="T22" s="194" t="n">
        <f aca="false">IF(N22=0,0,O22/N22)</f>
        <v>1.17041666666667</v>
      </c>
      <c r="U22" s="196" t="str">
        <f aca="false">IF(Q22=0,"",O22/Q22)</f>
        <v/>
      </c>
      <c r="V22" s="197" t="n">
        <f aca="false">IF(O22=0,0,Q22/O22)</f>
        <v>0</v>
      </c>
      <c r="W22" s="195" t="n">
        <v>11</v>
      </c>
      <c r="X22" s="185" t="n">
        <v>9.93</v>
      </c>
      <c r="Y22" s="195" t="n">
        <v>0</v>
      </c>
      <c r="Z22" s="185" t="n">
        <v>0</v>
      </c>
      <c r="AA22" s="196" t="n">
        <f aca="false">IF(W22=0,0,Y22/W22)</f>
        <v>0</v>
      </c>
      <c r="AB22" s="196" t="str">
        <f aca="false">IF(Z22=0,"",X22/Z22)</f>
        <v/>
      </c>
      <c r="AC22" s="195" t="n">
        <v>0</v>
      </c>
      <c r="AD22" s="185" t="n">
        <v>0</v>
      </c>
      <c r="AE22" s="195" t="n">
        <v>0</v>
      </c>
      <c r="AF22" s="185" t="n">
        <v>0</v>
      </c>
      <c r="AG22" s="196" t="n">
        <f aca="false">IF(AC22=0,0,AE22/AC22)</f>
        <v>0</v>
      </c>
      <c r="AH22" s="195" t="n">
        <v>9</v>
      </c>
      <c r="AI22" s="185" t="n">
        <v>17.65</v>
      </c>
      <c r="AJ22" s="195" t="n">
        <v>15</v>
      </c>
      <c r="AK22" s="185" t="n">
        <v>10.44</v>
      </c>
      <c r="AL22" s="195" t="n">
        <v>0</v>
      </c>
      <c r="AM22" s="185" t="n">
        <v>0</v>
      </c>
      <c r="AN22" s="195" t="n">
        <v>0</v>
      </c>
      <c r="AO22" s="185" t="n">
        <v>0</v>
      </c>
      <c r="AP22" s="196" t="n">
        <f aca="false">IF(O22=0,0,AO22/O22)</f>
        <v>0</v>
      </c>
      <c r="AQ22" s="198" t="str">
        <f aca="false">IF(N22&lt;Rules!$B$10,"Under 20 clicks: too early",IF(P22=0,"20+ clicks, 0 orders: negate / pause",IF(N22&lt;Rules!$B$11,"Under 100 clicks: watch",IF(S22&gt;=Rules!$B$12,"4%+: keep",IF(S22&gt;=Rules!$B$13,"2% to 4%: hold at lower bid","Under 2%: pause")))))</f>
        <v>20+ clicks, 0 orders: negate / pause</v>
      </c>
      <c r="AR22" s="198" t="str">
        <f aca="false">IF(O22=0,"",IF(Q22=0,"Spend, no sales",IF(U22&gt;Rules!$B$33,"Above 3x break-even","Within 3x break-even")))</f>
        <v>Spend, no sales</v>
      </c>
      <c r="AS22" s="198" t="str">
        <f aca="false">IF(OR(J22="",H22&lt;&gt;"ENABLED"),"",IF(J22&gt;Rules!$B$9,"Above +300% cap","OK"))</f>
        <v/>
      </c>
      <c r="AT22" s="192" t="s">
        <v>96</v>
      </c>
      <c r="AU22" s="189" t="s">
        <v>766</v>
      </c>
      <c r="AV22" s="192" t="s">
        <v>199</v>
      </c>
      <c r="AW22" s="192" t="s">
        <v>216</v>
      </c>
      <c r="AX22" s="189" t="s">
        <v>126</v>
      </c>
      <c r="AY22" s="199"/>
    </row>
    <row r="23" customFormat="false" ht="37.3" hidden="false" customHeight="false" outlineLevel="0" collapsed="false">
      <c r="A23" s="200" t="s">
        <v>218</v>
      </c>
      <c r="B23" s="201" t="s">
        <v>798</v>
      </c>
      <c r="C23" s="201" t="s">
        <v>217</v>
      </c>
      <c r="D23" s="198" t="s">
        <v>761</v>
      </c>
      <c r="E23" s="198" t="s">
        <v>772</v>
      </c>
      <c r="F23" s="198" t="s">
        <v>769</v>
      </c>
      <c r="G23" s="201" t="s">
        <v>786</v>
      </c>
      <c r="H23" s="198" t="s">
        <v>766</v>
      </c>
      <c r="I23" s="194" t="n">
        <v>7.64</v>
      </c>
      <c r="J23" s="202"/>
      <c r="K23" s="194"/>
      <c r="L23" s="203" t="str">
        <f aca="false">IF(OR(K23="",J23=""),"",K23*(1+J23))</f>
        <v/>
      </c>
      <c r="M23" s="204" t="n">
        <v>2560</v>
      </c>
      <c r="N23" s="204" t="n">
        <v>32</v>
      </c>
      <c r="O23" s="194" t="n">
        <v>27.55</v>
      </c>
      <c r="P23" s="204" t="n">
        <v>0</v>
      </c>
      <c r="Q23" s="194" t="n">
        <v>0</v>
      </c>
      <c r="R23" s="205" t="n">
        <f aca="false">IF(M23=0,0,N23/M23)</f>
        <v>0.0125</v>
      </c>
      <c r="S23" s="205" t="n">
        <f aca="false">IF(N23=0,0,P23/N23)</f>
        <v>0</v>
      </c>
      <c r="T23" s="203" t="n">
        <f aca="false">IF(N23=0,0,O23/N23)</f>
        <v>0.8609375</v>
      </c>
      <c r="U23" s="205" t="str">
        <f aca="false">IF(Q23=0,"",O23/Q23)</f>
        <v/>
      </c>
      <c r="V23" s="206" t="n">
        <f aca="false">IF(O23=0,0,Q23/O23)</f>
        <v>0</v>
      </c>
      <c r="W23" s="204" t="n">
        <v>0</v>
      </c>
      <c r="X23" s="194" t="n">
        <v>0</v>
      </c>
      <c r="Y23" s="204" t="n">
        <v>0</v>
      </c>
      <c r="Z23" s="194" t="n">
        <v>0</v>
      </c>
      <c r="AA23" s="205" t="n">
        <f aca="false">IF(W23=0,0,Y23/W23)</f>
        <v>0</v>
      </c>
      <c r="AB23" s="205" t="str">
        <f aca="false">IF(Z23=0,"",X23/Z23)</f>
        <v/>
      </c>
      <c r="AC23" s="204" t="n">
        <v>0</v>
      </c>
      <c r="AD23" s="194" t="n">
        <v>0</v>
      </c>
      <c r="AE23" s="204" t="n">
        <v>0</v>
      </c>
      <c r="AF23" s="194" t="n">
        <v>0</v>
      </c>
      <c r="AG23" s="205" t="n">
        <f aca="false">IF(AC23=0,0,AE23/AC23)</f>
        <v>0</v>
      </c>
      <c r="AH23" s="204" t="n">
        <v>8</v>
      </c>
      <c r="AI23" s="194" t="n">
        <v>11.27</v>
      </c>
      <c r="AJ23" s="204" t="n">
        <v>21</v>
      </c>
      <c r="AK23" s="194" t="n">
        <v>14.2</v>
      </c>
      <c r="AL23" s="204" t="n">
        <v>3</v>
      </c>
      <c r="AM23" s="194" t="n">
        <v>2.08</v>
      </c>
      <c r="AN23" s="204" t="n">
        <v>0</v>
      </c>
      <c r="AO23" s="194" t="n">
        <v>0</v>
      </c>
      <c r="AP23" s="205" t="n">
        <f aca="false">IF(O23=0,0,AO23/O23)</f>
        <v>0</v>
      </c>
      <c r="AQ23" s="207" t="str">
        <f aca="false">IF(N23&lt;Rules!$B$10,"Under 20 clicks: too early",IF(P23=0,"20+ clicks, 0 orders: negate / pause",IF(N23&lt;Rules!$B$11,"Under 100 clicks: watch",IF(S23&gt;=Rules!$B$12,"4%+: keep",IF(S23&gt;=Rules!$B$13,"2% to 4%: hold at lower bid","Under 2%: pause")))))</f>
        <v>20+ clicks, 0 orders: negate / pause</v>
      </c>
      <c r="AR23" s="207" t="str">
        <f aca="false">IF(O23=0,"",IF(Q23=0,"Spend, no sales",IF(U23&gt;Rules!$B$33,"Above 3x break-even","Within 3x break-even")))</f>
        <v>Spend, no sales</v>
      </c>
      <c r="AS23" s="207" t="str">
        <f aca="false">IF(OR(J23="",H23&lt;&gt;"ENABLED"),"",IF(J23&gt;Rules!$B$9,"Above +300% cap","OK"))</f>
        <v/>
      </c>
      <c r="AT23" s="201" t="s">
        <v>96</v>
      </c>
      <c r="AU23" s="198" t="s">
        <v>766</v>
      </c>
      <c r="AV23" s="201" t="s">
        <v>199</v>
      </c>
      <c r="AW23" s="201" t="s">
        <v>219</v>
      </c>
      <c r="AX23" s="198" t="s">
        <v>126</v>
      </c>
      <c r="AY23" s="208"/>
    </row>
    <row r="24" customFormat="false" ht="37.3" hidden="false" customHeight="false" outlineLevel="0" collapsed="false">
      <c r="A24" s="209" t="s">
        <v>221</v>
      </c>
      <c r="B24" s="210" t="s">
        <v>799</v>
      </c>
      <c r="C24" s="210" t="s">
        <v>220</v>
      </c>
      <c r="D24" s="207" t="s">
        <v>761</v>
      </c>
      <c r="E24" s="207" t="s">
        <v>768</v>
      </c>
      <c r="F24" s="207" t="s">
        <v>769</v>
      </c>
      <c r="G24" s="210" t="s">
        <v>786</v>
      </c>
      <c r="H24" s="207" t="s">
        <v>766</v>
      </c>
      <c r="I24" s="203" t="n">
        <v>9.34</v>
      </c>
      <c r="J24" s="211"/>
      <c r="K24" s="203"/>
      <c r="L24" s="212" t="str">
        <f aca="false">IF(OR(K24="",J24=""),"",K24*(1+J24))</f>
        <v/>
      </c>
      <c r="M24" s="213" t="n">
        <v>5076</v>
      </c>
      <c r="N24" s="213" t="n">
        <v>28</v>
      </c>
      <c r="O24" s="203" t="n">
        <v>27.35</v>
      </c>
      <c r="P24" s="213" t="n">
        <v>0</v>
      </c>
      <c r="Q24" s="203" t="n">
        <v>0</v>
      </c>
      <c r="R24" s="214" t="n">
        <f aca="false">IF(M24=0,0,N24/M24)</f>
        <v>0.00551615445232467</v>
      </c>
      <c r="S24" s="214" t="n">
        <f aca="false">IF(N24=0,0,P24/N24)</f>
        <v>0</v>
      </c>
      <c r="T24" s="212" t="n">
        <f aca="false">IF(N24=0,0,O24/N24)</f>
        <v>0.976785714285714</v>
      </c>
      <c r="U24" s="214" t="str">
        <f aca="false">IF(Q24=0,"",O24/Q24)</f>
        <v/>
      </c>
      <c r="V24" s="215" t="n">
        <f aca="false">IF(O24=0,0,Q24/O24)</f>
        <v>0</v>
      </c>
      <c r="W24" s="213" t="n">
        <v>10</v>
      </c>
      <c r="X24" s="203" t="n">
        <v>9</v>
      </c>
      <c r="Y24" s="213" t="n">
        <v>0</v>
      </c>
      <c r="Z24" s="203" t="n">
        <v>0</v>
      </c>
      <c r="AA24" s="214" t="n">
        <f aca="false">IF(W24=0,0,Y24/W24)</f>
        <v>0</v>
      </c>
      <c r="AB24" s="214" t="str">
        <f aca="false">IF(Z24=0,"",X24/Z24)</f>
        <v/>
      </c>
      <c r="AC24" s="213" t="n">
        <v>0</v>
      </c>
      <c r="AD24" s="203" t="n">
        <v>0</v>
      </c>
      <c r="AE24" s="213" t="n">
        <v>0</v>
      </c>
      <c r="AF24" s="203" t="n">
        <v>0</v>
      </c>
      <c r="AG24" s="214" t="n">
        <f aca="false">IF(AC24=0,0,AE24/AC24)</f>
        <v>0</v>
      </c>
      <c r="AH24" s="213" t="n">
        <v>13</v>
      </c>
      <c r="AI24" s="203" t="n">
        <v>13.13</v>
      </c>
      <c r="AJ24" s="213" t="n">
        <v>14</v>
      </c>
      <c r="AK24" s="203" t="n">
        <v>13.21</v>
      </c>
      <c r="AL24" s="213" t="n">
        <v>1</v>
      </c>
      <c r="AM24" s="203" t="n">
        <v>1.01</v>
      </c>
      <c r="AN24" s="213" t="n">
        <v>0</v>
      </c>
      <c r="AO24" s="203" t="n">
        <v>0</v>
      </c>
      <c r="AP24" s="214" t="n">
        <f aca="false">IF(O24=0,0,AO24/O24)</f>
        <v>0</v>
      </c>
      <c r="AQ24" s="216" t="str">
        <f aca="false">IF(N24&lt;Rules!$B$10,"Under 20 clicks: too early",IF(P24=0,"20+ clicks, 0 orders: negate / pause",IF(N24&lt;Rules!$B$11,"Under 100 clicks: watch",IF(S24&gt;=Rules!$B$12,"4%+: keep",IF(S24&gt;=Rules!$B$13,"2% to 4%: hold at lower bid","Under 2%: pause")))))</f>
        <v>20+ clicks, 0 orders: negate / pause</v>
      </c>
      <c r="AR24" s="216" t="str">
        <f aca="false">IF(O24=0,"",IF(Q24=0,"Spend, no sales",IF(U24&gt;Rules!$B$33,"Above 3x break-even","Within 3x break-even")))</f>
        <v>Spend, no sales</v>
      </c>
      <c r="AS24" s="216" t="str">
        <f aca="false">IF(OR(J24="",H24&lt;&gt;"ENABLED"),"",IF(J24&gt;Rules!$B$9,"Above +300% cap","OK"))</f>
        <v/>
      </c>
      <c r="AT24" s="210" t="s">
        <v>96</v>
      </c>
      <c r="AU24" s="207" t="s">
        <v>766</v>
      </c>
      <c r="AV24" s="210" t="s">
        <v>199</v>
      </c>
      <c r="AW24" s="210" t="s">
        <v>222</v>
      </c>
      <c r="AX24" s="207" t="s">
        <v>126</v>
      </c>
      <c r="AY24" s="217"/>
    </row>
    <row r="25" customFormat="false" ht="25.35" hidden="false" customHeight="false" outlineLevel="0" collapsed="false">
      <c r="A25" s="218" t="s">
        <v>225</v>
      </c>
      <c r="B25" s="219" t="s">
        <v>800</v>
      </c>
      <c r="C25" s="219" t="s">
        <v>224</v>
      </c>
      <c r="D25" s="216" t="s">
        <v>637</v>
      </c>
      <c r="E25" s="216" t="s">
        <v>776</v>
      </c>
      <c r="F25" s="216" t="s">
        <v>777</v>
      </c>
      <c r="G25" s="219" t="s">
        <v>778</v>
      </c>
      <c r="H25" s="216" t="s">
        <v>765</v>
      </c>
      <c r="I25" s="212" t="n">
        <v>4.5</v>
      </c>
      <c r="J25" s="220" t="n">
        <v>0</v>
      </c>
      <c r="K25" s="212"/>
      <c r="L25" s="221" t="str">
        <f aca="false">IF(OR(K25="",J25=""),"",K25*(1+J25))</f>
        <v/>
      </c>
      <c r="M25" s="222" t="n">
        <v>6341</v>
      </c>
      <c r="N25" s="222" t="n">
        <v>31</v>
      </c>
      <c r="O25" s="212" t="n">
        <v>25.24</v>
      </c>
      <c r="P25" s="222" t="n">
        <v>0</v>
      </c>
      <c r="Q25" s="212" t="n">
        <v>0</v>
      </c>
      <c r="R25" s="223" t="n">
        <f aca="false">IF(M25=0,0,N25/M25)</f>
        <v>0.0048888187982968</v>
      </c>
      <c r="S25" s="223" t="n">
        <f aca="false">IF(N25=0,0,P25/N25)</f>
        <v>0</v>
      </c>
      <c r="T25" s="221" t="n">
        <f aca="false">IF(N25=0,0,O25/N25)</f>
        <v>0.814193548387097</v>
      </c>
      <c r="U25" s="223" t="str">
        <f aca="false">IF(Q25=0,"",O25/Q25)</f>
        <v/>
      </c>
      <c r="V25" s="224" t="n">
        <f aca="false">IF(O25=0,0,Q25/O25)</f>
        <v>0</v>
      </c>
      <c r="W25" s="222" t="n">
        <v>26</v>
      </c>
      <c r="X25" s="212" t="n">
        <v>21.14</v>
      </c>
      <c r="Y25" s="222" t="n">
        <v>0</v>
      </c>
      <c r="Z25" s="212" t="n">
        <v>0</v>
      </c>
      <c r="AA25" s="223" t="n">
        <f aca="false">IF(W25=0,0,Y25/W25)</f>
        <v>0</v>
      </c>
      <c r="AB25" s="223" t="str">
        <f aca="false">IF(Z25=0,"",X25/Z25)</f>
        <v/>
      </c>
      <c r="AC25" s="222" t="n">
        <v>19</v>
      </c>
      <c r="AD25" s="212" t="n">
        <v>15.58</v>
      </c>
      <c r="AE25" s="222" t="n">
        <v>0</v>
      </c>
      <c r="AF25" s="212" t="n">
        <v>0</v>
      </c>
      <c r="AG25" s="223" t="n">
        <f aca="false">IF(AC25=0,0,AE25/AC25)</f>
        <v>0</v>
      </c>
      <c r="AH25" s="222" t="n">
        <v>4</v>
      </c>
      <c r="AI25" s="212" t="n">
        <v>3.2</v>
      </c>
      <c r="AJ25" s="222" t="n">
        <v>19</v>
      </c>
      <c r="AK25" s="212" t="n">
        <v>15.58</v>
      </c>
      <c r="AL25" s="222" t="n">
        <v>8</v>
      </c>
      <c r="AM25" s="212" t="n">
        <v>6.46</v>
      </c>
      <c r="AN25" s="222" t="n">
        <v>0</v>
      </c>
      <c r="AO25" s="212" t="n">
        <v>0</v>
      </c>
      <c r="AP25" s="223" t="n">
        <f aca="false">IF(O25=0,0,AO25/O25)</f>
        <v>0</v>
      </c>
      <c r="AQ25" s="225" t="str">
        <f aca="false">IF(N25&lt;Rules!$B$10,"Under 20 clicks: too early",IF(P25=0,"20+ clicks, 0 orders: negate / pause",IF(N25&lt;Rules!$B$11,"Under 100 clicks: watch",IF(S25&gt;=Rules!$B$12,"4%+: keep",IF(S25&gt;=Rules!$B$13,"2% to 4%: hold at lower bid","Under 2%: pause")))))</f>
        <v>20+ clicks, 0 orders: negate / pause</v>
      </c>
      <c r="AR25" s="225" t="str">
        <f aca="false">IF(O25=0,"",IF(Q25=0,"Spend, no sales",IF(U25&gt;Rules!$B$33,"Above 3x break-even","Within 3x break-even")))</f>
        <v>Spend, no sales</v>
      </c>
      <c r="AS25" s="225" t="str">
        <f aca="false">IF(OR(J25="",H25&lt;&gt;"ENABLED"),"",IF(J25&gt;Rules!$B$9,"Above +300% cap","OK"))</f>
        <v>OK</v>
      </c>
      <c r="AT25" s="219" t="s">
        <v>96</v>
      </c>
      <c r="AU25" s="216" t="s">
        <v>766</v>
      </c>
      <c r="AV25" s="219" t="s">
        <v>204</v>
      </c>
      <c r="AW25" s="219" t="s">
        <v>227</v>
      </c>
      <c r="AX25" s="216" t="s">
        <v>126</v>
      </c>
      <c r="AY25" s="226"/>
    </row>
    <row r="26" customFormat="false" ht="37.3" hidden="false" customHeight="false" outlineLevel="0" collapsed="false">
      <c r="A26" s="227" t="s">
        <v>230</v>
      </c>
      <c r="B26" s="228" t="s">
        <v>801</v>
      </c>
      <c r="C26" s="228" t="s">
        <v>802</v>
      </c>
      <c r="D26" s="225" t="s">
        <v>761</v>
      </c>
      <c r="E26" s="225" t="s">
        <v>803</v>
      </c>
      <c r="F26" s="225" t="s">
        <v>769</v>
      </c>
      <c r="G26" s="228" t="s">
        <v>770</v>
      </c>
      <c r="H26" s="225" t="s">
        <v>766</v>
      </c>
      <c r="I26" s="221" t="n">
        <v>40.83</v>
      </c>
      <c r="J26" s="229"/>
      <c r="K26" s="221"/>
      <c r="L26" s="230" t="str">
        <f aca="false">IF(OR(K26="",J26=""),"",K26*(1+J26))</f>
        <v/>
      </c>
      <c r="M26" s="231" t="n">
        <v>1818</v>
      </c>
      <c r="N26" s="231" t="n">
        <v>79</v>
      </c>
      <c r="O26" s="221" t="n">
        <v>24.07</v>
      </c>
      <c r="P26" s="231" t="n">
        <v>0</v>
      </c>
      <c r="Q26" s="221" t="n">
        <v>0</v>
      </c>
      <c r="R26" s="232" t="n">
        <f aca="false">IF(M26=0,0,N26/M26)</f>
        <v>0.0434543454345435</v>
      </c>
      <c r="S26" s="232" t="n">
        <f aca="false">IF(N26=0,0,P26/N26)</f>
        <v>0</v>
      </c>
      <c r="T26" s="230" t="n">
        <f aca="false">IF(N26=0,0,O26/N26)</f>
        <v>0.304683544303797</v>
      </c>
      <c r="U26" s="232" t="str">
        <f aca="false">IF(Q26=0,"",O26/Q26)</f>
        <v/>
      </c>
      <c r="V26" s="233" t="n">
        <f aca="false">IF(O26=0,0,Q26/O26)</f>
        <v>0</v>
      </c>
      <c r="W26" s="231" t="n">
        <v>0</v>
      </c>
      <c r="X26" s="221" t="n">
        <v>0</v>
      </c>
      <c r="Y26" s="231" t="n">
        <v>0</v>
      </c>
      <c r="Z26" s="221" t="n">
        <v>0</v>
      </c>
      <c r="AA26" s="232" t="n">
        <f aca="false">IF(W26=0,0,Y26/W26)</f>
        <v>0</v>
      </c>
      <c r="AB26" s="232" t="str">
        <f aca="false">IF(Z26=0,"",X26/Z26)</f>
        <v/>
      </c>
      <c r="AC26" s="231" t="n">
        <v>0</v>
      </c>
      <c r="AD26" s="221" t="n">
        <v>0</v>
      </c>
      <c r="AE26" s="231" t="n">
        <v>0</v>
      </c>
      <c r="AF26" s="221" t="n">
        <v>0</v>
      </c>
      <c r="AG26" s="232" t="n">
        <f aca="false">IF(AC26=0,0,AE26/AC26)</f>
        <v>0</v>
      </c>
      <c r="AH26" s="231" t="n">
        <v>4</v>
      </c>
      <c r="AI26" s="221" t="n">
        <v>4.8</v>
      </c>
      <c r="AJ26" s="231" t="n">
        <v>2</v>
      </c>
      <c r="AK26" s="221" t="n">
        <v>1.93</v>
      </c>
      <c r="AL26" s="231" t="n">
        <v>1</v>
      </c>
      <c r="AM26" s="221" t="n">
        <v>0.78</v>
      </c>
      <c r="AN26" s="231" t="n">
        <v>72</v>
      </c>
      <c r="AO26" s="221" t="n">
        <v>16.56</v>
      </c>
      <c r="AP26" s="232" t="n">
        <f aca="false">IF(O26=0,0,AO26/O26)</f>
        <v>0.68799335272123</v>
      </c>
      <c r="AQ26" s="234" t="str">
        <f aca="false">IF(N26&lt;Rules!$B$10,"Under 20 clicks: too early",IF(P26=0,"20+ clicks, 0 orders: negate / pause",IF(N26&lt;Rules!$B$11,"Under 100 clicks: watch",IF(S26&gt;=Rules!$B$12,"4%+: keep",IF(S26&gt;=Rules!$B$13,"2% to 4%: hold at lower bid","Under 2%: pause")))))</f>
        <v>20+ clicks, 0 orders: negate / pause</v>
      </c>
      <c r="AR26" s="234" t="str">
        <f aca="false">IF(O26=0,"",IF(Q26=0,"Spend, no sales",IF(U26&gt;Rules!$B$33,"Above 3x break-even","Within 3x break-even")))</f>
        <v>Spend, no sales</v>
      </c>
      <c r="AS26" s="234" t="str">
        <f aca="false">IF(OR(J26="",H26&lt;&gt;"ENABLED"),"",IF(J26&gt;Rules!$B$9,"Above +300% cap","OK"))</f>
        <v/>
      </c>
      <c r="AT26" s="228" t="s">
        <v>96</v>
      </c>
      <c r="AU26" s="225" t="s">
        <v>766</v>
      </c>
      <c r="AV26" s="228" t="s">
        <v>199</v>
      </c>
      <c r="AW26" s="228" t="s">
        <v>231</v>
      </c>
      <c r="AX26" s="225" t="s">
        <v>126</v>
      </c>
      <c r="AY26" s="235"/>
    </row>
    <row r="27" customFormat="false" ht="37.3" hidden="false" customHeight="false" outlineLevel="0" collapsed="false">
      <c r="A27" s="236" t="s">
        <v>234</v>
      </c>
      <c r="B27" s="237" t="s">
        <v>804</v>
      </c>
      <c r="C27" s="237" t="s">
        <v>233</v>
      </c>
      <c r="D27" s="234" t="s">
        <v>761</v>
      </c>
      <c r="E27" s="234" t="s">
        <v>762</v>
      </c>
      <c r="F27" s="234" t="s">
        <v>769</v>
      </c>
      <c r="G27" s="237" t="s">
        <v>786</v>
      </c>
      <c r="H27" s="234" t="s">
        <v>766</v>
      </c>
      <c r="I27" s="230" t="n">
        <v>8.7</v>
      </c>
      <c r="J27" s="238"/>
      <c r="K27" s="230"/>
      <c r="L27" s="239" t="str">
        <f aca="false">IF(OR(K27="",J27=""),"",K27*(1+J27))</f>
        <v/>
      </c>
      <c r="M27" s="240" t="n">
        <v>2235</v>
      </c>
      <c r="N27" s="240" t="n">
        <v>18</v>
      </c>
      <c r="O27" s="230" t="n">
        <v>20.86</v>
      </c>
      <c r="P27" s="240" t="n">
        <v>0</v>
      </c>
      <c r="Q27" s="230" t="n">
        <v>0</v>
      </c>
      <c r="R27" s="241" t="n">
        <f aca="false">IF(M27=0,0,N27/M27)</f>
        <v>0.00805369127516779</v>
      </c>
      <c r="S27" s="241" t="n">
        <f aca="false">IF(N27=0,0,P27/N27)</f>
        <v>0</v>
      </c>
      <c r="T27" s="239" t="n">
        <f aca="false">IF(N27=0,0,O27/N27)</f>
        <v>1.15888888888889</v>
      </c>
      <c r="U27" s="241" t="str">
        <f aca="false">IF(Q27=0,"",O27/Q27)</f>
        <v/>
      </c>
      <c r="V27" s="242" t="n">
        <f aca="false">IF(O27=0,0,Q27/O27)</f>
        <v>0</v>
      </c>
      <c r="W27" s="240" t="n">
        <v>8</v>
      </c>
      <c r="X27" s="230" t="n">
        <v>8.91</v>
      </c>
      <c r="Y27" s="240" t="n">
        <v>0</v>
      </c>
      <c r="Z27" s="230" t="n">
        <v>0</v>
      </c>
      <c r="AA27" s="241" t="n">
        <f aca="false">IF(W27=0,0,Y27/W27)</f>
        <v>0</v>
      </c>
      <c r="AB27" s="241" t="str">
        <f aca="false">IF(Z27=0,"",X27/Z27)</f>
        <v/>
      </c>
      <c r="AC27" s="240" t="n">
        <v>0</v>
      </c>
      <c r="AD27" s="230" t="n">
        <v>0</v>
      </c>
      <c r="AE27" s="240" t="n">
        <v>0</v>
      </c>
      <c r="AF27" s="230" t="n">
        <v>0</v>
      </c>
      <c r="AG27" s="241" t="n">
        <f aca="false">IF(AC27=0,0,AE27/AC27)</f>
        <v>0</v>
      </c>
      <c r="AH27" s="240" t="n">
        <v>10</v>
      </c>
      <c r="AI27" s="230" t="n">
        <v>14.44</v>
      </c>
      <c r="AJ27" s="240" t="n">
        <v>7</v>
      </c>
      <c r="AK27" s="230" t="n">
        <v>5.56</v>
      </c>
      <c r="AL27" s="240" t="n">
        <v>1</v>
      </c>
      <c r="AM27" s="230" t="n">
        <v>0.86</v>
      </c>
      <c r="AN27" s="240" t="n">
        <v>0</v>
      </c>
      <c r="AO27" s="230" t="n">
        <v>0</v>
      </c>
      <c r="AP27" s="241" t="n">
        <f aca="false">IF(O27=0,0,AO27/O27)</f>
        <v>0</v>
      </c>
      <c r="AQ27" s="243" t="str">
        <f aca="false">IF(N27&lt;Rules!$B$10,"Under 20 clicks: too early",IF(P27=0,"20+ clicks, 0 orders: negate / pause",IF(N27&lt;Rules!$B$11,"Under 100 clicks: watch",IF(S27&gt;=Rules!$B$12,"4%+: keep",IF(S27&gt;=Rules!$B$13,"2% to 4%: hold at lower bid","Under 2%: pause")))))</f>
        <v>Under 20 clicks: too early</v>
      </c>
      <c r="AR27" s="243" t="str">
        <f aca="false">IF(O27=0,"",IF(Q27=0,"Spend, no sales",IF(U27&gt;Rules!$B$33,"Above 3x break-even","Within 3x break-even")))</f>
        <v>Spend, no sales</v>
      </c>
      <c r="AS27" s="243" t="str">
        <f aca="false">IF(OR(J27="",H27&lt;&gt;"ENABLED"),"",IF(J27&gt;Rules!$B$9,"Above +300% cap","OK"))</f>
        <v/>
      </c>
      <c r="AT27" s="237" t="s">
        <v>96</v>
      </c>
      <c r="AU27" s="234" t="s">
        <v>766</v>
      </c>
      <c r="AV27" s="237" t="s">
        <v>199</v>
      </c>
      <c r="AW27" s="237" t="s">
        <v>235</v>
      </c>
      <c r="AX27" s="234" t="s">
        <v>126</v>
      </c>
      <c r="AY27" s="244"/>
    </row>
    <row r="28" customFormat="false" ht="37.3" hidden="false" customHeight="false" outlineLevel="0" collapsed="false">
      <c r="A28" s="245" t="s">
        <v>184</v>
      </c>
      <c r="B28" s="246" t="s">
        <v>805</v>
      </c>
      <c r="C28" s="246" t="s">
        <v>806</v>
      </c>
      <c r="D28" s="243" t="s">
        <v>761</v>
      </c>
      <c r="E28" s="243" t="s">
        <v>768</v>
      </c>
      <c r="F28" s="243" t="s">
        <v>769</v>
      </c>
      <c r="G28" s="246" t="s">
        <v>807</v>
      </c>
      <c r="H28" s="243" t="s">
        <v>765</v>
      </c>
      <c r="I28" s="239" t="n">
        <v>19.95</v>
      </c>
      <c r="J28" s="247" t="n">
        <v>3.6</v>
      </c>
      <c r="K28" s="239"/>
      <c r="L28" s="248" t="str">
        <f aca="false">IF(OR(K28="",J28=""),"",K28*(1+J28))</f>
        <v/>
      </c>
      <c r="M28" s="249" t="n">
        <v>503</v>
      </c>
      <c r="N28" s="249" t="n">
        <v>11</v>
      </c>
      <c r="O28" s="239" t="n">
        <v>20.64</v>
      </c>
      <c r="P28" s="249" t="n">
        <v>0</v>
      </c>
      <c r="Q28" s="239" t="n">
        <v>0</v>
      </c>
      <c r="R28" s="250" t="n">
        <f aca="false">IF(M28=0,0,N28/M28)</f>
        <v>0.021868787276342</v>
      </c>
      <c r="S28" s="250" t="n">
        <f aca="false">IF(N28=0,0,P28/N28)</f>
        <v>0</v>
      </c>
      <c r="T28" s="248" t="n">
        <f aca="false">IF(N28=0,0,O28/N28)</f>
        <v>1.87636363636364</v>
      </c>
      <c r="U28" s="250" t="str">
        <f aca="false">IF(Q28=0,"",O28/Q28)</f>
        <v/>
      </c>
      <c r="V28" s="251" t="n">
        <f aca="false">IF(O28=0,0,Q28/O28)</f>
        <v>0</v>
      </c>
      <c r="W28" s="249" t="n">
        <v>4</v>
      </c>
      <c r="X28" s="239" t="n">
        <v>11.4</v>
      </c>
      <c r="Y28" s="249" t="n">
        <v>0</v>
      </c>
      <c r="Z28" s="239" t="n">
        <v>0</v>
      </c>
      <c r="AA28" s="250" t="n">
        <f aca="false">IF(W28=0,0,Y28/W28)</f>
        <v>0</v>
      </c>
      <c r="AB28" s="250" t="str">
        <f aca="false">IF(Z28=0,"",X28/Z28)</f>
        <v/>
      </c>
      <c r="AC28" s="249" t="n">
        <v>2</v>
      </c>
      <c r="AD28" s="239" t="n">
        <v>7.11</v>
      </c>
      <c r="AE28" s="249" t="n">
        <v>0</v>
      </c>
      <c r="AF28" s="239" t="n">
        <v>0</v>
      </c>
      <c r="AG28" s="250" t="n">
        <f aca="false">IF(AC28=0,0,AE28/AC28)</f>
        <v>0</v>
      </c>
      <c r="AH28" s="249" t="n">
        <v>9</v>
      </c>
      <c r="AI28" s="239" t="n">
        <v>18.98</v>
      </c>
      <c r="AJ28" s="249" t="n">
        <v>1</v>
      </c>
      <c r="AK28" s="239" t="n">
        <v>1.02</v>
      </c>
      <c r="AL28" s="249" t="n">
        <v>1</v>
      </c>
      <c r="AM28" s="239" t="n">
        <v>0.64</v>
      </c>
      <c r="AN28" s="249" t="n">
        <v>0</v>
      </c>
      <c r="AO28" s="239" t="n">
        <v>0</v>
      </c>
      <c r="AP28" s="250" t="n">
        <f aca="false">IF(O28=0,0,AO28/O28)</f>
        <v>0</v>
      </c>
      <c r="AQ28" s="252" t="str">
        <f aca="false">IF(N28&lt;Rules!$B$10,"Under 20 clicks: too early",IF(P28=0,"20+ clicks, 0 orders: negate / pause",IF(N28&lt;Rules!$B$11,"Under 100 clicks: watch",IF(S28&gt;=Rules!$B$12,"4%+: keep",IF(S28&gt;=Rules!$B$13,"2% to 4%: hold at lower bid","Under 2%: pause")))))</f>
        <v>Under 20 clicks: too early</v>
      </c>
      <c r="AR28" s="252" t="str">
        <f aca="false">IF(O28=0,"",IF(Q28=0,"Spend, no sales",IF(U28&gt;Rules!$B$33,"Above 3x break-even","Within 3x break-even")))</f>
        <v>Spend, no sales</v>
      </c>
      <c r="AS28" s="252" t="str">
        <f aca="false">IF(OR(J28="",H28&lt;&gt;"ENABLED"),"",IF(J28&gt;Rules!$B$9,"Above +300% cap","OK"))</f>
        <v>Above +300% cap</v>
      </c>
      <c r="AT28" s="246" t="s">
        <v>95</v>
      </c>
      <c r="AU28" s="243" t="s">
        <v>766</v>
      </c>
      <c r="AV28" s="246" t="s">
        <v>185</v>
      </c>
      <c r="AW28" s="246" t="s">
        <v>186</v>
      </c>
      <c r="AX28" s="243" t="s">
        <v>126</v>
      </c>
      <c r="AY28" s="253"/>
    </row>
    <row r="29" customFormat="false" ht="37.3" hidden="false" customHeight="false" outlineLevel="0" collapsed="false">
      <c r="A29" s="254" t="s">
        <v>238</v>
      </c>
      <c r="B29" s="255" t="s">
        <v>808</v>
      </c>
      <c r="C29" s="255" t="s">
        <v>237</v>
      </c>
      <c r="D29" s="252" t="s">
        <v>761</v>
      </c>
      <c r="E29" s="252" t="s">
        <v>796</v>
      </c>
      <c r="F29" s="252" t="s">
        <v>769</v>
      </c>
      <c r="G29" s="255" t="s">
        <v>786</v>
      </c>
      <c r="H29" s="252" t="s">
        <v>766</v>
      </c>
      <c r="I29" s="248" t="n">
        <v>11.21</v>
      </c>
      <c r="J29" s="256"/>
      <c r="K29" s="248"/>
      <c r="L29" s="257" t="str">
        <f aca="false">IF(OR(K29="",J29=""),"",K29*(1+J29))</f>
        <v/>
      </c>
      <c r="M29" s="258" t="n">
        <v>657</v>
      </c>
      <c r="N29" s="258" t="n">
        <v>43</v>
      </c>
      <c r="O29" s="248" t="n">
        <v>19.66</v>
      </c>
      <c r="P29" s="258" t="n">
        <v>0</v>
      </c>
      <c r="Q29" s="248" t="n">
        <v>0</v>
      </c>
      <c r="R29" s="259" t="n">
        <f aca="false">IF(M29=0,0,N29/M29)</f>
        <v>0.0654490106544901</v>
      </c>
      <c r="S29" s="259" t="n">
        <f aca="false">IF(N29=0,0,P29/N29)</f>
        <v>0</v>
      </c>
      <c r="T29" s="257" t="n">
        <f aca="false">IF(N29=0,0,O29/N29)</f>
        <v>0.457209302325581</v>
      </c>
      <c r="U29" s="259" t="str">
        <f aca="false">IF(Q29=0,"",O29/Q29)</f>
        <v/>
      </c>
      <c r="V29" s="260" t="n">
        <f aca="false">IF(O29=0,0,Q29/O29)</f>
        <v>0</v>
      </c>
      <c r="W29" s="258" t="n">
        <v>0</v>
      </c>
      <c r="X29" s="248" t="n">
        <v>0</v>
      </c>
      <c r="Y29" s="258" t="n">
        <v>0</v>
      </c>
      <c r="Z29" s="248" t="n">
        <v>0</v>
      </c>
      <c r="AA29" s="259" t="n">
        <f aca="false">IF(W29=0,0,Y29/W29)</f>
        <v>0</v>
      </c>
      <c r="AB29" s="259" t="str">
        <f aca="false">IF(Z29=0,"",X29/Z29)</f>
        <v/>
      </c>
      <c r="AC29" s="258" t="n">
        <v>0</v>
      </c>
      <c r="AD29" s="248" t="n">
        <v>0</v>
      </c>
      <c r="AE29" s="258" t="n">
        <v>0</v>
      </c>
      <c r="AF29" s="248" t="n">
        <v>0</v>
      </c>
      <c r="AG29" s="259" t="n">
        <f aca="false">IF(AC29=0,0,AE29/AC29)</f>
        <v>0</v>
      </c>
      <c r="AH29" s="258" t="n">
        <v>3</v>
      </c>
      <c r="AI29" s="248" t="n">
        <v>12.08</v>
      </c>
      <c r="AJ29" s="258" t="n">
        <v>0</v>
      </c>
      <c r="AK29" s="248" t="n">
        <v>0</v>
      </c>
      <c r="AL29" s="258" t="n">
        <v>0</v>
      </c>
      <c r="AM29" s="248" t="n">
        <v>0</v>
      </c>
      <c r="AN29" s="258" t="n">
        <v>40</v>
      </c>
      <c r="AO29" s="248" t="n">
        <v>7.58</v>
      </c>
      <c r="AP29" s="259" t="n">
        <f aca="false">IF(O29=0,0,AO29/O29)</f>
        <v>0.385554425228891</v>
      </c>
      <c r="AQ29" s="261" t="str">
        <f aca="false">IF(N29&lt;Rules!$B$10,"Under 20 clicks: too early",IF(P29=0,"20+ clicks, 0 orders: negate / pause",IF(N29&lt;Rules!$B$11,"Under 100 clicks: watch",IF(S29&gt;=Rules!$B$12,"4%+: keep",IF(S29&gt;=Rules!$B$13,"2% to 4%: hold at lower bid","Under 2%: pause")))))</f>
        <v>20+ clicks, 0 orders: negate / pause</v>
      </c>
      <c r="AR29" s="261" t="str">
        <f aca="false">IF(O29=0,"",IF(Q29=0,"Spend, no sales",IF(U29&gt;Rules!$B$33,"Above 3x break-even","Within 3x break-even")))</f>
        <v>Spend, no sales</v>
      </c>
      <c r="AS29" s="261" t="str">
        <f aca="false">IF(OR(J29="",H29&lt;&gt;"ENABLED"),"",IF(J29&gt;Rules!$B$9,"Above +300% cap","OK"))</f>
        <v/>
      </c>
      <c r="AT29" s="255" t="s">
        <v>96</v>
      </c>
      <c r="AU29" s="252" t="s">
        <v>766</v>
      </c>
      <c r="AV29" s="255" t="s">
        <v>199</v>
      </c>
      <c r="AW29" s="255" t="s">
        <v>239</v>
      </c>
      <c r="AX29" s="252" t="s">
        <v>126</v>
      </c>
      <c r="AY29" s="262"/>
    </row>
    <row r="30" customFormat="false" ht="25.35" hidden="false" customHeight="false" outlineLevel="0" collapsed="false">
      <c r="A30" s="263" t="s">
        <v>242</v>
      </c>
      <c r="B30" s="264" t="s">
        <v>809</v>
      </c>
      <c r="C30" s="264" t="s">
        <v>241</v>
      </c>
      <c r="D30" s="261" t="s">
        <v>637</v>
      </c>
      <c r="E30" s="261" t="s">
        <v>776</v>
      </c>
      <c r="F30" s="261" t="s">
        <v>777</v>
      </c>
      <c r="G30" s="264" t="s">
        <v>778</v>
      </c>
      <c r="H30" s="261" t="s">
        <v>766</v>
      </c>
      <c r="I30" s="257" t="n">
        <v>4.5</v>
      </c>
      <c r="J30" s="265"/>
      <c r="K30" s="257"/>
      <c r="L30" s="266" t="str">
        <f aca="false">IF(OR(K30="",J30=""),"",K30*(1+J30))</f>
        <v/>
      </c>
      <c r="M30" s="267" t="n">
        <v>5262</v>
      </c>
      <c r="N30" s="267" t="n">
        <v>33</v>
      </c>
      <c r="O30" s="257" t="n">
        <v>19.32</v>
      </c>
      <c r="P30" s="267" t="n">
        <v>0</v>
      </c>
      <c r="Q30" s="257" t="n">
        <v>0</v>
      </c>
      <c r="R30" s="268" t="n">
        <f aca="false">IF(M30=0,0,N30/M30)</f>
        <v>0.00627137970353478</v>
      </c>
      <c r="S30" s="268" t="n">
        <f aca="false">IF(N30=0,0,P30/N30)</f>
        <v>0</v>
      </c>
      <c r="T30" s="266" t="n">
        <f aca="false">IF(N30=0,0,O30/N30)</f>
        <v>0.585454545454545</v>
      </c>
      <c r="U30" s="268" t="str">
        <f aca="false">IF(Q30=0,"",O30/Q30)</f>
        <v/>
      </c>
      <c r="V30" s="269" t="n">
        <f aca="false">IF(O30=0,0,Q30/O30)</f>
        <v>0</v>
      </c>
      <c r="W30" s="267" t="n">
        <v>29</v>
      </c>
      <c r="X30" s="257" t="n">
        <v>16.96</v>
      </c>
      <c r="Y30" s="267" t="n">
        <v>0</v>
      </c>
      <c r="Z30" s="257" t="n">
        <v>0</v>
      </c>
      <c r="AA30" s="268" t="n">
        <f aca="false">IF(W30=0,0,Y30/W30)</f>
        <v>0</v>
      </c>
      <c r="AB30" s="268" t="str">
        <f aca="false">IF(Z30=0,"",X30/Z30)</f>
        <v/>
      </c>
      <c r="AC30" s="267" t="n">
        <v>0</v>
      </c>
      <c r="AD30" s="257" t="n">
        <v>0</v>
      </c>
      <c r="AE30" s="267" t="n">
        <v>0</v>
      </c>
      <c r="AF30" s="257" t="n">
        <v>0</v>
      </c>
      <c r="AG30" s="268" t="n">
        <f aca="false">IF(AC30=0,0,AE30/AC30)</f>
        <v>0</v>
      </c>
      <c r="AH30" s="267" t="n">
        <v>0</v>
      </c>
      <c r="AI30" s="257" t="n">
        <v>0</v>
      </c>
      <c r="AJ30" s="267" t="n">
        <v>33</v>
      </c>
      <c r="AK30" s="257" t="n">
        <v>19.32</v>
      </c>
      <c r="AL30" s="267" t="n">
        <v>0</v>
      </c>
      <c r="AM30" s="257" t="n">
        <v>0</v>
      </c>
      <c r="AN30" s="267" t="n">
        <v>0</v>
      </c>
      <c r="AO30" s="257" t="n">
        <v>0</v>
      </c>
      <c r="AP30" s="268" t="n">
        <f aca="false">IF(O30=0,0,AO30/O30)</f>
        <v>0</v>
      </c>
      <c r="AQ30" s="270" t="str">
        <f aca="false">IF(N30&lt;Rules!$B$10,"Under 20 clicks: too early",IF(P30=0,"20+ clicks, 0 orders: negate / pause",IF(N30&lt;Rules!$B$11,"Under 100 clicks: watch",IF(S30&gt;=Rules!$B$12,"4%+: keep",IF(S30&gt;=Rules!$B$13,"2% to 4%: hold at lower bid","Under 2%: pause")))))</f>
        <v>20+ clicks, 0 orders: negate / pause</v>
      </c>
      <c r="AR30" s="270" t="str">
        <f aca="false">IF(O30=0,"",IF(Q30=0,"Spend, no sales",IF(U30&gt;Rules!$B$33,"Above 3x break-even","Within 3x break-even")))</f>
        <v>Spend, no sales</v>
      </c>
      <c r="AS30" s="270" t="str">
        <f aca="false">IF(OR(J30="",H30&lt;&gt;"ENABLED"),"",IF(J30&gt;Rules!$B$9,"Above +300% cap","OK"))</f>
        <v/>
      </c>
      <c r="AT30" s="264" t="s">
        <v>96</v>
      </c>
      <c r="AU30" s="261" t="s">
        <v>766</v>
      </c>
      <c r="AV30" s="264" t="s">
        <v>199</v>
      </c>
      <c r="AW30" s="264" t="s">
        <v>244</v>
      </c>
      <c r="AX30" s="261" t="s">
        <v>126</v>
      </c>
      <c r="AY30" s="271"/>
    </row>
    <row r="31" customFormat="false" ht="25.35" hidden="false" customHeight="false" outlineLevel="0" collapsed="false">
      <c r="A31" s="272" t="s">
        <v>246</v>
      </c>
      <c r="B31" s="273" t="s">
        <v>810</v>
      </c>
      <c r="C31" s="273" t="s">
        <v>245</v>
      </c>
      <c r="D31" s="270" t="s">
        <v>637</v>
      </c>
      <c r="E31" s="270" t="s">
        <v>776</v>
      </c>
      <c r="F31" s="270" t="s">
        <v>777</v>
      </c>
      <c r="G31" s="273" t="s">
        <v>778</v>
      </c>
      <c r="H31" s="270" t="s">
        <v>765</v>
      </c>
      <c r="I31" s="266" t="n">
        <v>4.5</v>
      </c>
      <c r="J31" s="274" t="n">
        <v>0</v>
      </c>
      <c r="K31" s="266"/>
      <c r="L31" s="275" t="str">
        <f aca="false">IF(OR(K31="",J31=""),"",K31*(1+J31))</f>
        <v/>
      </c>
      <c r="M31" s="276" t="n">
        <v>4406</v>
      </c>
      <c r="N31" s="276" t="n">
        <v>24</v>
      </c>
      <c r="O31" s="266" t="n">
        <v>15.31</v>
      </c>
      <c r="P31" s="276" t="n">
        <v>0</v>
      </c>
      <c r="Q31" s="266" t="n">
        <v>0</v>
      </c>
      <c r="R31" s="277" t="n">
        <f aca="false">IF(M31=0,0,N31/M31)</f>
        <v>0.00544711756695415</v>
      </c>
      <c r="S31" s="277" t="n">
        <f aca="false">IF(N31=0,0,P31/N31)</f>
        <v>0</v>
      </c>
      <c r="T31" s="275" t="n">
        <f aca="false">IF(N31=0,0,O31/N31)</f>
        <v>0.637916666666667</v>
      </c>
      <c r="U31" s="277" t="str">
        <f aca="false">IF(Q31=0,"",O31/Q31)</f>
        <v/>
      </c>
      <c r="V31" s="278" t="n">
        <f aca="false">IF(O31=0,0,Q31/O31)</f>
        <v>0</v>
      </c>
      <c r="W31" s="276" t="n">
        <v>23</v>
      </c>
      <c r="X31" s="266" t="n">
        <v>14.66</v>
      </c>
      <c r="Y31" s="276" t="n">
        <v>0</v>
      </c>
      <c r="Z31" s="266" t="n">
        <v>0</v>
      </c>
      <c r="AA31" s="277" t="n">
        <f aca="false">IF(W31=0,0,Y31/W31)</f>
        <v>0</v>
      </c>
      <c r="AB31" s="277" t="str">
        <f aca="false">IF(Z31=0,"",X31/Z31)</f>
        <v/>
      </c>
      <c r="AC31" s="276" t="n">
        <v>12</v>
      </c>
      <c r="AD31" s="266" t="n">
        <v>7.51</v>
      </c>
      <c r="AE31" s="276" t="n">
        <v>0</v>
      </c>
      <c r="AF31" s="266" t="n">
        <v>0</v>
      </c>
      <c r="AG31" s="277" t="n">
        <f aca="false">IF(AC31=0,0,AE31/AC31)</f>
        <v>0</v>
      </c>
      <c r="AH31" s="276" t="n">
        <v>0</v>
      </c>
      <c r="AI31" s="266" t="n">
        <v>0</v>
      </c>
      <c r="AJ31" s="276" t="n">
        <v>24</v>
      </c>
      <c r="AK31" s="266" t="n">
        <v>15.31</v>
      </c>
      <c r="AL31" s="276" t="n">
        <v>0</v>
      </c>
      <c r="AM31" s="266" t="n">
        <v>0</v>
      </c>
      <c r="AN31" s="276" t="n">
        <v>0</v>
      </c>
      <c r="AO31" s="266" t="n">
        <v>0</v>
      </c>
      <c r="AP31" s="277" t="n">
        <f aca="false">IF(O31=0,0,AO31/O31)</f>
        <v>0</v>
      </c>
      <c r="AQ31" s="279" t="str">
        <f aca="false">IF(N31&lt;Rules!$B$10,"Under 20 clicks: too early",IF(P31=0,"20+ clicks, 0 orders: negate / pause",IF(N31&lt;Rules!$B$11,"Under 100 clicks: watch",IF(S31&gt;=Rules!$B$12,"4%+: keep",IF(S31&gt;=Rules!$B$13,"2% to 4%: hold at lower bid","Under 2%: pause")))))</f>
        <v>20+ clicks, 0 orders: negate / pause</v>
      </c>
      <c r="AR31" s="279" t="str">
        <f aca="false">IF(O31=0,"",IF(Q31=0,"Spend, no sales",IF(U31&gt;Rules!$B$33,"Above 3x break-even","Within 3x break-even")))</f>
        <v>Spend, no sales</v>
      </c>
      <c r="AS31" s="279" t="str">
        <f aca="false">IF(OR(J31="",H31&lt;&gt;"ENABLED"),"",IF(J31&gt;Rules!$B$9,"Above +300% cap","OK"))</f>
        <v>OK</v>
      </c>
      <c r="AT31" s="273" t="s">
        <v>96</v>
      </c>
      <c r="AU31" s="270" t="s">
        <v>766</v>
      </c>
      <c r="AV31" s="273" t="s">
        <v>204</v>
      </c>
      <c r="AW31" s="273" t="s">
        <v>248</v>
      </c>
      <c r="AX31" s="270" t="s">
        <v>126</v>
      </c>
      <c r="AY31" s="280"/>
    </row>
    <row r="32" customFormat="false" ht="25.35" hidden="false" customHeight="false" outlineLevel="0" collapsed="false">
      <c r="A32" s="281" t="s">
        <v>250</v>
      </c>
      <c r="B32" s="282" t="s">
        <v>811</v>
      </c>
      <c r="C32" s="282" t="s">
        <v>249</v>
      </c>
      <c r="D32" s="279" t="s">
        <v>637</v>
      </c>
      <c r="E32" s="279" t="s">
        <v>776</v>
      </c>
      <c r="F32" s="279" t="s">
        <v>777</v>
      </c>
      <c r="G32" s="282" t="s">
        <v>778</v>
      </c>
      <c r="H32" s="279" t="s">
        <v>766</v>
      </c>
      <c r="I32" s="275" t="n">
        <v>4.5</v>
      </c>
      <c r="J32" s="283"/>
      <c r="K32" s="275"/>
      <c r="L32" s="284" t="str">
        <f aca="false">IF(OR(K32="",J32=""),"",K32*(1+J32))</f>
        <v/>
      </c>
      <c r="M32" s="285" t="n">
        <v>3649</v>
      </c>
      <c r="N32" s="285" t="n">
        <v>22</v>
      </c>
      <c r="O32" s="275" t="n">
        <v>12.98</v>
      </c>
      <c r="P32" s="285" t="n">
        <v>0</v>
      </c>
      <c r="Q32" s="275" t="n">
        <v>0</v>
      </c>
      <c r="R32" s="286" t="n">
        <f aca="false">IF(M32=0,0,N32/M32)</f>
        <v>0.00602904905453549</v>
      </c>
      <c r="S32" s="286" t="n">
        <f aca="false">IF(N32=0,0,P32/N32)</f>
        <v>0</v>
      </c>
      <c r="T32" s="284" t="n">
        <f aca="false">IF(N32=0,0,O32/N32)</f>
        <v>0.59</v>
      </c>
      <c r="U32" s="286" t="str">
        <f aca="false">IF(Q32=0,"",O32/Q32)</f>
        <v/>
      </c>
      <c r="V32" s="287" t="n">
        <f aca="false">IF(O32=0,0,Q32/O32)</f>
        <v>0</v>
      </c>
      <c r="W32" s="285" t="n">
        <v>19</v>
      </c>
      <c r="X32" s="275" t="n">
        <v>11.21</v>
      </c>
      <c r="Y32" s="285" t="n">
        <v>0</v>
      </c>
      <c r="Z32" s="275" t="n">
        <v>0</v>
      </c>
      <c r="AA32" s="286" t="n">
        <f aca="false">IF(W32=0,0,Y32/W32)</f>
        <v>0</v>
      </c>
      <c r="AB32" s="286" t="str">
        <f aca="false">IF(Z32=0,"",X32/Z32)</f>
        <v/>
      </c>
      <c r="AC32" s="285" t="n">
        <v>0</v>
      </c>
      <c r="AD32" s="275" t="n">
        <v>0</v>
      </c>
      <c r="AE32" s="285" t="n">
        <v>0</v>
      </c>
      <c r="AF32" s="275" t="n">
        <v>0</v>
      </c>
      <c r="AG32" s="286" t="n">
        <f aca="false">IF(AC32=0,0,AE32/AC32)</f>
        <v>0</v>
      </c>
      <c r="AH32" s="285" t="n">
        <v>1</v>
      </c>
      <c r="AI32" s="275" t="n">
        <v>0.59</v>
      </c>
      <c r="AJ32" s="285" t="n">
        <v>21</v>
      </c>
      <c r="AK32" s="275" t="n">
        <v>12.39</v>
      </c>
      <c r="AL32" s="285" t="n">
        <v>0</v>
      </c>
      <c r="AM32" s="275" t="n">
        <v>0</v>
      </c>
      <c r="AN32" s="285" t="n">
        <v>0</v>
      </c>
      <c r="AO32" s="275" t="n">
        <v>0</v>
      </c>
      <c r="AP32" s="286" t="n">
        <f aca="false">IF(O32=0,0,AO32/O32)</f>
        <v>0</v>
      </c>
      <c r="AQ32" s="288" t="str">
        <f aca="false">IF(N32&lt;Rules!$B$10,"Under 20 clicks: too early",IF(P32=0,"20+ clicks, 0 orders: negate / pause",IF(N32&lt;Rules!$B$11,"Under 100 clicks: watch",IF(S32&gt;=Rules!$B$12,"4%+: keep",IF(S32&gt;=Rules!$B$13,"2% to 4%: hold at lower bid","Under 2%: pause")))))</f>
        <v>20+ clicks, 0 orders: negate / pause</v>
      </c>
      <c r="AR32" s="288" t="str">
        <f aca="false">IF(O32=0,"",IF(Q32=0,"Spend, no sales",IF(U32&gt;Rules!$B$33,"Above 3x break-even","Within 3x break-even")))</f>
        <v>Spend, no sales</v>
      </c>
      <c r="AS32" s="288" t="str">
        <f aca="false">IF(OR(J32="",H32&lt;&gt;"ENABLED"),"",IF(J32&gt;Rules!$B$9,"Above +300% cap","OK"))</f>
        <v/>
      </c>
      <c r="AT32" s="282" t="s">
        <v>96</v>
      </c>
      <c r="AU32" s="279" t="s">
        <v>766</v>
      </c>
      <c r="AV32" s="282" t="s">
        <v>199</v>
      </c>
      <c r="AW32" s="282" t="s">
        <v>252</v>
      </c>
      <c r="AX32" s="279" t="s">
        <v>126</v>
      </c>
      <c r="AY32" s="289"/>
    </row>
    <row r="33" customFormat="false" ht="37.3" hidden="false" customHeight="false" outlineLevel="0" collapsed="false">
      <c r="A33" s="290" t="s">
        <v>254</v>
      </c>
      <c r="B33" s="291" t="s">
        <v>812</v>
      </c>
      <c r="C33" s="291" t="s">
        <v>253</v>
      </c>
      <c r="D33" s="288" t="s">
        <v>761</v>
      </c>
      <c r="E33" s="288" t="s">
        <v>762</v>
      </c>
      <c r="F33" s="288" t="s">
        <v>769</v>
      </c>
      <c r="G33" s="291" t="s">
        <v>788</v>
      </c>
      <c r="H33" s="288" t="s">
        <v>765</v>
      </c>
      <c r="I33" s="284" t="n">
        <v>8.6</v>
      </c>
      <c r="J33" s="292" t="n">
        <v>3.8</v>
      </c>
      <c r="K33" s="284"/>
      <c r="L33" s="293" t="str">
        <f aca="false">IF(OR(K33="",J33=""),"",K33*(1+J33))</f>
        <v/>
      </c>
      <c r="M33" s="294" t="n">
        <v>818</v>
      </c>
      <c r="N33" s="294" t="n">
        <v>9</v>
      </c>
      <c r="O33" s="284" t="n">
        <v>12.65</v>
      </c>
      <c r="P33" s="294" t="n">
        <v>0</v>
      </c>
      <c r="Q33" s="284" t="n">
        <v>0</v>
      </c>
      <c r="R33" s="295" t="n">
        <f aca="false">IF(M33=0,0,N33/M33)</f>
        <v>0.0110024449877751</v>
      </c>
      <c r="S33" s="295" t="n">
        <f aca="false">IF(N33=0,0,P33/N33)</f>
        <v>0</v>
      </c>
      <c r="T33" s="293" t="n">
        <f aca="false">IF(N33=0,0,O33/N33)</f>
        <v>1.40555555555556</v>
      </c>
      <c r="U33" s="295" t="str">
        <f aca="false">IF(Q33=0,"",O33/Q33)</f>
        <v/>
      </c>
      <c r="V33" s="296" t="n">
        <f aca="false">IF(O33=0,0,Q33/O33)</f>
        <v>0</v>
      </c>
      <c r="W33" s="294" t="n">
        <v>7</v>
      </c>
      <c r="X33" s="284" t="n">
        <v>9.25</v>
      </c>
      <c r="Y33" s="294" t="n">
        <v>0</v>
      </c>
      <c r="Z33" s="284" t="n">
        <v>0</v>
      </c>
      <c r="AA33" s="295" t="n">
        <f aca="false">IF(W33=0,0,Y33/W33)</f>
        <v>0</v>
      </c>
      <c r="AB33" s="295" t="str">
        <f aca="false">IF(Z33=0,"",X33/Z33)</f>
        <v/>
      </c>
      <c r="AC33" s="294" t="n">
        <v>2</v>
      </c>
      <c r="AD33" s="284" t="n">
        <v>1.98</v>
      </c>
      <c r="AE33" s="294" t="n">
        <v>0</v>
      </c>
      <c r="AF33" s="284" t="n">
        <v>0</v>
      </c>
      <c r="AG33" s="295" t="n">
        <f aca="false">IF(AC33=0,0,AE33/AC33)</f>
        <v>0</v>
      </c>
      <c r="AH33" s="294" t="n">
        <v>6</v>
      </c>
      <c r="AI33" s="284" t="n">
        <v>9.68</v>
      </c>
      <c r="AJ33" s="294" t="n">
        <v>3</v>
      </c>
      <c r="AK33" s="284" t="n">
        <v>2.97</v>
      </c>
      <c r="AL33" s="294" t="n">
        <v>0</v>
      </c>
      <c r="AM33" s="284" t="n">
        <v>0</v>
      </c>
      <c r="AN33" s="294" t="n">
        <v>0</v>
      </c>
      <c r="AO33" s="284" t="n">
        <v>0</v>
      </c>
      <c r="AP33" s="295" t="n">
        <f aca="false">IF(O33=0,0,AO33/O33)</f>
        <v>0</v>
      </c>
      <c r="AQ33" s="297" t="str">
        <f aca="false">IF(N33&lt;Rules!$B$10,"Under 20 clicks: too early",IF(P33=0,"20+ clicks, 0 orders: negate / pause",IF(N33&lt;Rules!$B$11,"Under 100 clicks: watch",IF(S33&gt;=Rules!$B$12,"4%+: keep",IF(S33&gt;=Rules!$B$13,"2% to 4%: hold at lower bid","Under 2%: pause")))))</f>
        <v>Under 20 clicks: too early</v>
      </c>
      <c r="AR33" s="297" t="str">
        <f aca="false">IF(O33=0,"",IF(Q33=0,"Spend, no sales",IF(U33&gt;Rules!$B$33,"Above 3x break-even","Within 3x break-even")))</f>
        <v>Spend, no sales</v>
      </c>
      <c r="AS33" s="297" t="str">
        <f aca="false">IF(OR(J33="",H33&lt;&gt;"ENABLED"),"",IF(J33&gt;Rules!$B$9,"Above +300% cap","OK"))</f>
        <v>Above +300% cap</v>
      </c>
      <c r="AT33" s="291" t="s">
        <v>96</v>
      </c>
      <c r="AU33" s="288" t="s">
        <v>766</v>
      </c>
      <c r="AV33" s="291" t="s">
        <v>204</v>
      </c>
      <c r="AW33" s="291" t="s">
        <v>255</v>
      </c>
      <c r="AX33" s="288" t="s">
        <v>126</v>
      </c>
      <c r="AY33" s="298"/>
    </row>
    <row r="34" customFormat="false" ht="37.3" hidden="false" customHeight="false" outlineLevel="0" collapsed="false">
      <c r="A34" s="299" t="s">
        <v>257</v>
      </c>
      <c r="B34" s="300" t="s">
        <v>813</v>
      </c>
      <c r="C34" s="300" t="s">
        <v>256</v>
      </c>
      <c r="D34" s="297" t="s">
        <v>761</v>
      </c>
      <c r="E34" s="297" t="s">
        <v>762</v>
      </c>
      <c r="F34" s="297" t="s">
        <v>763</v>
      </c>
      <c r="G34" s="300" t="s">
        <v>788</v>
      </c>
      <c r="H34" s="297" t="s">
        <v>765</v>
      </c>
      <c r="I34" s="293" t="n">
        <v>5.66</v>
      </c>
      <c r="J34" s="301" t="n">
        <v>3</v>
      </c>
      <c r="K34" s="293"/>
      <c r="L34" s="302" t="str">
        <f aca="false">IF(OR(K34="",J34=""),"",K34*(1+J34))</f>
        <v/>
      </c>
      <c r="M34" s="303" t="n">
        <v>1282</v>
      </c>
      <c r="N34" s="303" t="n">
        <v>12</v>
      </c>
      <c r="O34" s="293" t="n">
        <v>12.58</v>
      </c>
      <c r="P34" s="303" t="n">
        <v>0</v>
      </c>
      <c r="Q34" s="293" t="n">
        <v>0</v>
      </c>
      <c r="R34" s="304" t="n">
        <f aca="false">IF(M34=0,0,N34/M34)</f>
        <v>0.0093603744149766</v>
      </c>
      <c r="S34" s="304" t="n">
        <f aca="false">IF(N34=0,0,P34/N34)</f>
        <v>0</v>
      </c>
      <c r="T34" s="302" t="n">
        <f aca="false">IF(N34=0,0,O34/N34)</f>
        <v>1.04833333333333</v>
      </c>
      <c r="U34" s="304" t="str">
        <f aca="false">IF(Q34=0,"",O34/Q34)</f>
        <v/>
      </c>
      <c r="V34" s="305" t="n">
        <f aca="false">IF(O34=0,0,Q34/O34)</f>
        <v>0</v>
      </c>
      <c r="W34" s="303" t="n">
        <v>11</v>
      </c>
      <c r="X34" s="293" t="n">
        <v>11.04</v>
      </c>
      <c r="Y34" s="303" t="n">
        <v>0</v>
      </c>
      <c r="Z34" s="293" t="n">
        <v>0</v>
      </c>
      <c r="AA34" s="304" t="n">
        <f aca="false">IF(W34=0,0,Y34/W34)</f>
        <v>0</v>
      </c>
      <c r="AB34" s="304" t="str">
        <f aca="false">IF(Z34=0,"",X34/Z34)</f>
        <v/>
      </c>
      <c r="AC34" s="303" t="n">
        <v>5</v>
      </c>
      <c r="AD34" s="293" t="n">
        <v>3.4</v>
      </c>
      <c r="AE34" s="303" t="n">
        <v>0</v>
      </c>
      <c r="AF34" s="293" t="n">
        <v>0</v>
      </c>
      <c r="AG34" s="304" t="n">
        <f aca="false">IF(AC34=0,0,AE34/AC34)</f>
        <v>0</v>
      </c>
      <c r="AH34" s="303" t="n">
        <v>5</v>
      </c>
      <c r="AI34" s="293" t="n">
        <v>7.82</v>
      </c>
      <c r="AJ34" s="303" t="n">
        <v>7</v>
      </c>
      <c r="AK34" s="293" t="n">
        <v>4.76</v>
      </c>
      <c r="AL34" s="303" t="n">
        <v>0</v>
      </c>
      <c r="AM34" s="293" t="n">
        <v>0</v>
      </c>
      <c r="AN34" s="303" t="n">
        <v>0</v>
      </c>
      <c r="AO34" s="293" t="n">
        <v>0</v>
      </c>
      <c r="AP34" s="304" t="n">
        <f aca="false">IF(O34=0,0,AO34/O34)</f>
        <v>0</v>
      </c>
      <c r="AQ34" s="306" t="str">
        <f aca="false">IF(N34&lt;Rules!$B$10,"Under 20 clicks: too early",IF(P34=0,"20+ clicks, 0 orders: negate / pause",IF(N34&lt;Rules!$B$11,"Under 100 clicks: watch",IF(S34&gt;=Rules!$B$12,"4%+: keep",IF(S34&gt;=Rules!$B$13,"2% to 4%: hold at lower bid","Under 2%: pause")))))</f>
        <v>Under 20 clicks: too early</v>
      </c>
      <c r="AR34" s="306" t="str">
        <f aca="false">IF(O34=0,"",IF(Q34=0,"Spend, no sales",IF(U34&gt;Rules!$B$33,"Above 3x break-even","Within 3x break-even")))</f>
        <v>Spend, no sales</v>
      </c>
      <c r="AS34" s="306" t="str">
        <f aca="false">IF(OR(J34="",H34&lt;&gt;"ENABLED"),"",IF(J34&gt;Rules!$B$9,"Above +300% cap","OK"))</f>
        <v>OK</v>
      </c>
      <c r="AT34" s="300" t="s">
        <v>96</v>
      </c>
      <c r="AU34" s="297" t="s">
        <v>766</v>
      </c>
      <c r="AV34" s="300" t="s">
        <v>204</v>
      </c>
      <c r="AW34" s="300" t="s">
        <v>258</v>
      </c>
      <c r="AX34" s="297" t="s">
        <v>126</v>
      </c>
      <c r="AY34" s="307"/>
    </row>
    <row r="35" customFormat="false" ht="37.3" hidden="false" customHeight="false" outlineLevel="0" collapsed="false">
      <c r="A35" s="308" t="s">
        <v>160</v>
      </c>
      <c r="B35" s="309" t="s">
        <v>814</v>
      </c>
      <c r="C35" s="309" t="s">
        <v>815</v>
      </c>
      <c r="D35" s="306" t="s">
        <v>761</v>
      </c>
      <c r="E35" s="306" t="s">
        <v>803</v>
      </c>
      <c r="F35" s="306" t="s">
        <v>816</v>
      </c>
      <c r="G35" s="309" t="s">
        <v>770</v>
      </c>
      <c r="H35" s="306" t="s">
        <v>765</v>
      </c>
      <c r="I35" s="302" t="n">
        <v>13.97</v>
      </c>
      <c r="J35" s="310" t="n">
        <v>3</v>
      </c>
      <c r="K35" s="302"/>
      <c r="L35" s="311" t="str">
        <f aca="false">IF(OR(K35="",J35=""),"",K35*(1+J35))</f>
        <v/>
      </c>
      <c r="M35" s="312" t="n">
        <v>321</v>
      </c>
      <c r="N35" s="312" t="n">
        <v>7</v>
      </c>
      <c r="O35" s="302" t="n">
        <v>10.7</v>
      </c>
      <c r="P35" s="312" t="n">
        <v>1</v>
      </c>
      <c r="Q35" s="302" t="n">
        <v>34.99</v>
      </c>
      <c r="R35" s="313" t="n">
        <f aca="false">IF(M35=0,0,N35/M35)</f>
        <v>0.0218068535825545</v>
      </c>
      <c r="S35" s="313" t="n">
        <f aca="false">IF(N35=0,0,P35/N35)</f>
        <v>0.142857142857143</v>
      </c>
      <c r="T35" s="311" t="n">
        <f aca="false">IF(N35=0,0,O35/N35)</f>
        <v>1.52857142857143</v>
      </c>
      <c r="U35" s="313" t="n">
        <f aca="false">IF(Q35=0,"",O35/Q35)</f>
        <v>0.305801657616462</v>
      </c>
      <c r="V35" s="314" t="n">
        <f aca="false">IF(O35=0,0,Q35/O35)</f>
        <v>3.27009345794393</v>
      </c>
      <c r="W35" s="312" t="n">
        <v>4</v>
      </c>
      <c r="X35" s="302" t="n">
        <v>6.92</v>
      </c>
      <c r="Y35" s="312" t="n">
        <v>0</v>
      </c>
      <c r="Z35" s="302" t="n">
        <v>0</v>
      </c>
      <c r="AA35" s="313" t="n">
        <f aca="false">IF(W35=0,0,Y35/W35)</f>
        <v>0</v>
      </c>
      <c r="AB35" s="313" t="str">
        <f aca="false">IF(Z35=0,"",X35/Z35)</f>
        <v/>
      </c>
      <c r="AC35" s="312" t="n">
        <v>2</v>
      </c>
      <c r="AD35" s="302" t="n">
        <v>2.57</v>
      </c>
      <c r="AE35" s="312" t="n">
        <v>0</v>
      </c>
      <c r="AF35" s="302" t="n">
        <v>0</v>
      </c>
      <c r="AG35" s="313" t="n">
        <f aca="false">IF(AC35=0,0,AE35/AC35)</f>
        <v>0</v>
      </c>
      <c r="AH35" s="312" t="n">
        <v>5</v>
      </c>
      <c r="AI35" s="302" t="n">
        <v>9.26</v>
      </c>
      <c r="AJ35" s="312" t="n">
        <v>1</v>
      </c>
      <c r="AK35" s="302" t="n">
        <v>0.75</v>
      </c>
      <c r="AL35" s="312" t="n">
        <v>1</v>
      </c>
      <c r="AM35" s="302" t="n">
        <v>0.69</v>
      </c>
      <c r="AN35" s="312" t="n">
        <v>0</v>
      </c>
      <c r="AO35" s="302" t="n">
        <v>0</v>
      </c>
      <c r="AP35" s="313" t="n">
        <f aca="false">IF(O35=0,0,AO35/O35)</f>
        <v>0</v>
      </c>
      <c r="AQ35" s="315" t="str">
        <f aca="false">IF(N35&lt;Rules!$B$10,"Under 20 clicks: too early",IF(P35=0,"20+ clicks, 0 orders: negate / pause",IF(N35&lt;Rules!$B$11,"Under 100 clicks: watch",IF(S35&gt;=Rules!$B$12,"4%+: keep",IF(S35&gt;=Rules!$B$13,"2% to 4%: hold at lower bid","Under 2%: pause")))))</f>
        <v>Under 20 clicks: too early</v>
      </c>
      <c r="AR35" s="315" t="str">
        <f aca="false">IF(O35=0,"",IF(Q35=0,"Spend, no sales",IF(U35&gt;Rules!$B$33,"Above 3x break-even","Within 3x break-even")))</f>
        <v>Within 3x break-even</v>
      </c>
      <c r="AS35" s="315" t="str">
        <f aca="false">IF(OR(J35="",H35&lt;&gt;"ENABLED"),"",IF(J35&gt;Rules!$B$9,"Above +300% cap","OK"))</f>
        <v>OK</v>
      </c>
      <c r="AT35" s="309" t="s">
        <v>94</v>
      </c>
      <c r="AU35" s="306" t="s">
        <v>766</v>
      </c>
      <c r="AV35" s="309" t="s">
        <v>139</v>
      </c>
      <c r="AW35" s="309" t="s">
        <v>161</v>
      </c>
      <c r="AX35" s="306" t="s">
        <v>126</v>
      </c>
      <c r="AY35" s="316"/>
    </row>
    <row r="36" customFormat="false" ht="25.35" hidden="false" customHeight="false" outlineLevel="0" collapsed="false">
      <c r="A36" s="317" t="s">
        <v>260</v>
      </c>
      <c r="B36" s="318" t="s">
        <v>817</v>
      </c>
      <c r="C36" s="318" t="s">
        <v>259</v>
      </c>
      <c r="D36" s="315" t="s">
        <v>637</v>
      </c>
      <c r="E36" s="315" t="s">
        <v>776</v>
      </c>
      <c r="F36" s="315" t="s">
        <v>777</v>
      </c>
      <c r="G36" s="318" t="s">
        <v>778</v>
      </c>
      <c r="H36" s="315" t="s">
        <v>766</v>
      </c>
      <c r="I36" s="311" t="n">
        <v>4.5</v>
      </c>
      <c r="J36" s="319"/>
      <c r="K36" s="311"/>
      <c r="L36" s="320" t="str">
        <f aca="false">IF(OR(K36="",J36=""),"",K36*(1+J36))</f>
        <v/>
      </c>
      <c r="M36" s="321" t="n">
        <v>1475</v>
      </c>
      <c r="N36" s="321" t="n">
        <v>16</v>
      </c>
      <c r="O36" s="311" t="n">
        <v>9.3</v>
      </c>
      <c r="P36" s="321" t="n">
        <v>0</v>
      </c>
      <c r="Q36" s="311" t="n">
        <v>0</v>
      </c>
      <c r="R36" s="322" t="n">
        <f aca="false">IF(M36=0,0,N36/M36)</f>
        <v>0.0108474576271186</v>
      </c>
      <c r="S36" s="322" t="n">
        <f aca="false">IF(N36=0,0,P36/N36)</f>
        <v>0</v>
      </c>
      <c r="T36" s="320" t="n">
        <f aca="false">IF(N36=0,0,O36/N36)</f>
        <v>0.58125</v>
      </c>
      <c r="U36" s="322" t="str">
        <f aca="false">IF(Q36=0,"",O36/Q36)</f>
        <v/>
      </c>
      <c r="V36" s="323" t="n">
        <f aca="false">IF(O36=0,0,Q36/O36)</f>
        <v>0</v>
      </c>
      <c r="W36" s="321" t="n">
        <v>10</v>
      </c>
      <c r="X36" s="311" t="n">
        <v>5.9</v>
      </c>
      <c r="Y36" s="321" t="n">
        <v>0</v>
      </c>
      <c r="Z36" s="311" t="n">
        <v>0</v>
      </c>
      <c r="AA36" s="322" t="n">
        <f aca="false">IF(W36=0,0,Y36/W36)</f>
        <v>0</v>
      </c>
      <c r="AB36" s="322" t="str">
        <f aca="false">IF(Z36=0,"",X36/Z36)</f>
        <v/>
      </c>
      <c r="AC36" s="321" t="n">
        <v>0</v>
      </c>
      <c r="AD36" s="311" t="n">
        <v>0</v>
      </c>
      <c r="AE36" s="321" t="n">
        <v>0</v>
      </c>
      <c r="AF36" s="311" t="n">
        <v>0</v>
      </c>
      <c r="AG36" s="322" t="n">
        <f aca="false">IF(AC36=0,0,AE36/AC36)</f>
        <v>0</v>
      </c>
      <c r="AH36" s="321" t="n">
        <v>1</v>
      </c>
      <c r="AI36" s="311" t="n">
        <v>0.45</v>
      </c>
      <c r="AJ36" s="321" t="n">
        <v>12</v>
      </c>
      <c r="AK36" s="311" t="n">
        <v>7.08</v>
      </c>
      <c r="AL36" s="321" t="n">
        <v>3</v>
      </c>
      <c r="AM36" s="311" t="n">
        <v>1.77</v>
      </c>
      <c r="AN36" s="321" t="n">
        <v>0</v>
      </c>
      <c r="AO36" s="311" t="n">
        <v>0</v>
      </c>
      <c r="AP36" s="322" t="n">
        <f aca="false">IF(O36=0,0,AO36/O36)</f>
        <v>0</v>
      </c>
      <c r="AQ36" s="324" t="str">
        <f aca="false">IF(N36&lt;Rules!$B$10,"Under 20 clicks: too early",IF(P36=0,"20+ clicks, 0 orders: negate / pause",IF(N36&lt;Rules!$B$11,"Under 100 clicks: watch",IF(S36&gt;=Rules!$B$12,"4%+: keep",IF(S36&gt;=Rules!$B$13,"2% to 4%: hold at lower bid","Under 2%: pause")))))</f>
        <v>Under 20 clicks: too early</v>
      </c>
      <c r="AR36" s="324" t="str">
        <f aca="false">IF(O36=0,"",IF(Q36=0,"Spend, no sales",IF(U36&gt;Rules!$B$33,"Above 3x break-even","Within 3x break-even")))</f>
        <v>Spend, no sales</v>
      </c>
      <c r="AS36" s="324" t="str">
        <f aca="false">IF(OR(J36="",H36&lt;&gt;"ENABLED"),"",IF(J36&gt;Rules!$B$9,"Above +300% cap","OK"))</f>
        <v/>
      </c>
      <c r="AT36" s="318" t="s">
        <v>96</v>
      </c>
      <c r="AU36" s="315" t="s">
        <v>766</v>
      </c>
      <c r="AV36" s="318" t="s">
        <v>199</v>
      </c>
      <c r="AW36" s="318" t="s">
        <v>262</v>
      </c>
      <c r="AX36" s="315" t="s">
        <v>126</v>
      </c>
      <c r="AY36" s="325"/>
    </row>
    <row r="37" customFormat="false" ht="25.35" hidden="false" customHeight="false" outlineLevel="0" collapsed="false">
      <c r="A37" s="326" t="s">
        <v>264</v>
      </c>
      <c r="B37" s="327" t="s">
        <v>818</v>
      </c>
      <c r="C37" s="327" t="s">
        <v>263</v>
      </c>
      <c r="D37" s="324" t="s">
        <v>637</v>
      </c>
      <c r="E37" s="324" t="s">
        <v>776</v>
      </c>
      <c r="F37" s="324" t="s">
        <v>777</v>
      </c>
      <c r="G37" s="327" t="s">
        <v>778</v>
      </c>
      <c r="H37" s="324" t="s">
        <v>765</v>
      </c>
      <c r="I37" s="320" t="n">
        <v>4.5</v>
      </c>
      <c r="J37" s="328" t="n">
        <v>0</v>
      </c>
      <c r="K37" s="320"/>
      <c r="L37" s="329" t="str">
        <f aca="false">IF(OR(K37="",J37=""),"",K37*(1+J37))</f>
        <v/>
      </c>
      <c r="M37" s="330" t="n">
        <v>1773</v>
      </c>
      <c r="N37" s="330" t="n">
        <v>13</v>
      </c>
      <c r="O37" s="320" t="n">
        <v>8.41</v>
      </c>
      <c r="P37" s="330" t="n">
        <v>0</v>
      </c>
      <c r="Q37" s="320" t="n">
        <v>0</v>
      </c>
      <c r="R37" s="331" t="n">
        <f aca="false">IF(M37=0,0,N37/M37)</f>
        <v>0.00733220530174845</v>
      </c>
      <c r="S37" s="331" t="n">
        <f aca="false">IF(N37=0,0,P37/N37)</f>
        <v>0</v>
      </c>
      <c r="T37" s="329" t="n">
        <f aca="false">IF(N37=0,0,O37/N37)</f>
        <v>0.646923076923077</v>
      </c>
      <c r="U37" s="331" t="str">
        <f aca="false">IF(Q37=0,"",O37/Q37)</f>
        <v/>
      </c>
      <c r="V37" s="332" t="n">
        <f aca="false">IF(O37=0,0,Q37/O37)</f>
        <v>0</v>
      </c>
      <c r="W37" s="330" t="n">
        <v>11</v>
      </c>
      <c r="X37" s="320" t="n">
        <v>7.11</v>
      </c>
      <c r="Y37" s="330" t="n">
        <v>0</v>
      </c>
      <c r="Z37" s="320" t="n">
        <v>0</v>
      </c>
      <c r="AA37" s="331" t="n">
        <f aca="false">IF(W37=0,0,Y37/W37)</f>
        <v>0</v>
      </c>
      <c r="AB37" s="331" t="str">
        <f aca="false">IF(Z37=0,"",X37/Z37)</f>
        <v/>
      </c>
      <c r="AC37" s="330" t="n">
        <v>10</v>
      </c>
      <c r="AD37" s="320" t="n">
        <v>6.46</v>
      </c>
      <c r="AE37" s="330" t="n">
        <v>0</v>
      </c>
      <c r="AF37" s="320" t="n">
        <v>0</v>
      </c>
      <c r="AG37" s="331" t="n">
        <f aca="false">IF(AC37=0,0,AE37/AC37)</f>
        <v>0</v>
      </c>
      <c r="AH37" s="330" t="n">
        <v>0</v>
      </c>
      <c r="AI37" s="320" t="n">
        <v>0</v>
      </c>
      <c r="AJ37" s="330" t="n">
        <v>13</v>
      </c>
      <c r="AK37" s="320" t="n">
        <v>8.41</v>
      </c>
      <c r="AL37" s="330" t="n">
        <v>0</v>
      </c>
      <c r="AM37" s="320" t="n">
        <v>0</v>
      </c>
      <c r="AN37" s="330" t="n">
        <v>0</v>
      </c>
      <c r="AO37" s="320" t="n">
        <v>0</v>
      </c>
      <c r="AP37" s="331" t="n">
        <f aca="false">IF(O37=0,0,AO37/O37)</f>
        <v>0</v>
      </c>
      <c r="AQ37" s="333" t="str">
        <f aca="false">IF(N37&lt;Rules!$B$10,"Under 20 clicks: too early",IF(P37=0,"20+ clicks, 0 orders: negate / pause",IF(N37&lt;Rules!$B$11,"Under 100 clicks: watch",IF(S37&gt;=Rules!$B$12,"4%+: keep",IF(S37&gt;=Rules!$B$13,"2% to 4%: hold at lower bid","Under 2%: pause")))))</f>
        <v>Under 20 clicks: too early</v>
      </c>
      <c r="AR37" s="333" t="str">
        <f aca="false">IF(O37=0,"",IF(Q37=0,"Spend, no sales",IF(U37&gt;Rules!$B$33,"Above 3x break-even","Within 3x break-even")))</f>
        <v>Spend, no sales</v>
      </c>
      <c r="AS37" s="333" t="str">
        <f aca="false">IF(OR(J37="",H37&lt;&gt;"ENABLED"),"",IF(J37&gt;Rules!$B$9,"Above +300% cap","OK"))</f>
        <v>OK</v>
      </c>
      <c r="AT37" s="327" t="s">
        <v>96</v>
      </c>
      <c r="AU37" s="324" t="s">
        <v>766</v>
      </c>
      <c r="AV37" s="327" t="s">
        <v>204</v>
      </c>
      <c r="AW37" s="327" t="s">
        <v>266</v>
      </c>
      <c r="AX37" s="324" t="s">
        <v>126</v>
      </c>
      <c r="AY37" s="334"/>
    </row>
    <row r="38" customFormat="false" ht="37.3" hidden="false" customHeight="false" outlineLevel="0" collapsed="false">
      <c r="A38" s="335" t="s">
        <v>268</v>
      </c>
      <c r="B38" s="336" t="s">
        <v>819</v>
      </c>
      <c r="C38" s="336" t="s">
        <v>267</v>
      </c>
      <c r="D38" s="333" t="s">
        <v>761</v>
      </c>
      <c r="E38" s="333" t="s">
        <v>768</v>
      </c>
      <c r="F38" s="333" t="s">
        <v>769</v>
      </c>
      <c r="G38" s="336" t="s">
        <v>770</v>
      </c>
      <c r="H38" s="333" t="s">
        <v>765</v>
      </c>
      <c r="I38" s="329" t="n">
        <v>8.7</v>
      </c>
      <c r="J38" s="337" t="n">
        <v>3.8</v>
      </c>
      <c r="K38" s="329"/>
      <c r="L38" s="338" t="str">
        <f aca="false">IF(OR(K38="",J38=""),"",K38*(1+J38))</f>
        <v/>
      </c>
      <c r="M38" s="339" t="n">
        <v>335</v>
      </c>
      <c r="N38" s="339" t="n">
        <v>6</v>
      </c>
      <c r="O38" s="329" t="n">
        <v>8.13</v>
      </c>
      <c r="P38" s="339" t="n">
        <v>0</v>
      </c>
      <c r="Q38" s="329" t="n">
        <v>0</v>
      </c>
      <c r="R38" s="340" t="n">
        <f aca="false">IF(M38=0,0,N38/M38)</f>
        <v>0.017910447761194</v>
      </c>
      <c r="S38" s="340" t="n">
        <f aca="false">IF(N38=0,0,P38/N38)</f>
        <v>0</v>
      </c>
      <c r="T38" s="338" t="n">
        <f aca="false">IF(N38=0,0,O38/N38)</f>
        <v>1.355</v>
      </c>
      <c r="U38" s="340" t="str">
        <f aca="false">IF(Q38=0,"",O38/Q38)</f>
        <v/>
      </c>
      <c r="V38" s="341" t="n">
        <f aca="false">IF(O38=0,0,Q38/O38)</f>
        <v>0</v>
      </c>
      <c r="W38" s="339" t="n">
        <v>3</v>
      </c>
      <c r="X38" s="329" t="n">
        <v>3.55</v>
      </c>
      <c r="Y38" s="339" t="n">
        <v>0</v>
      </c>
      <c r="Z38" s="329" t="n">
        <v>0</v>
      </c>
      <c r="AA38" s="340" t="n">
        <f aca="false">IF(W38=0,0,Y38/W38)</f>
        <v>0</v>
      </c>
      <c r="AB38" s="340" t="str">
        <f aca="false">IF(Z38=0,"",X38/Z38)</f>
        <v/>
      </c>
      <c r="AC38" s="339" t="n">
        <v>3</v>
      </c>
      <c r="AD38" s="329" t="n">
        <v>3.55</v>
      </c>
      <c r="AE38" s="339" t="n">
        <v>0</v>
      </c>
      <c r="AF38" s="329" t="n">
        <v>0</v>
      </c>
      <c r="AG38" s="340" t="n">
        <f aca="false">IF(AC38=0,0,AE38/AC38)</f>
        <v>0</v>
      </c>
      <c r="AH38" s="339" t="n">
        <v>4</v>
      </c>
      <c r="AI38" s="329" t="n">
        <v>6.41</v>
      </c>
      <c r="AJ38" s="339" t="n">
        <v>2</v>
      </c>
      <c r="AK38" s="329" t="n">
        <v>1.72</v>
      </c>
      <c r="AL38" s="339" t="n">
        <v>0</v>
      </c>
      <c r="AM38" s="329" t="n">
        <v>0</v>
      </c>
      <c r="AN38" s="339" t="n">
        <v>0</v>
      </c>
      <c r="AO38" s="329" t="n">
        <v>0</v>
      </c>
      <c r="AP38" s="340" t="n">
        <f aca="false">IF(O38=0,0,AO38/O38)</f>
        <v>0</v>
      </c>
      <c r="AQ38" s="342" t="str">
        <f aca="false">IF(N38&lt;Rules!$B$10,"Under 20 clicks: too early",IF(P38=0,"20+ clicks, 0 orders: negate / pause",IF(N38&lt;Rules!$B$11,"Under 100 clicks: watch",IF(S38&gt;=Rules!$B$12,"4%+: keep",IF(S38&gt;=Rules!$B$13,"2% to 4%: hold at lower bid","Under 2%: pause")))))</f>
        <v>Under 20 clicks: too early</v>
      </c>
      <c r="AR38" s="342" t="str">
        <f aca="false">IF(O38=0,"",IF(Q38=0,"Spend, no sales",IF(U38&gt;Rules!$B$33,"Above 3x break-even","Within 3x break-even")))</f>
        <v>Spend, no sales</v>
      </c>
      <c r="AS38" s="342" t="str">
        <f aca="false">IF(OR(J38="",H38&lt;&gt;"ENABLED"),"",IF(J38&gt;Rules!$B$9,"Above +300% cap","OK"))</f>
        <v>Above +300% cap</v>
      </c>
      <c r="AT38" s="336" t="s">
        <v>96</v>
      </c>
      <c r="AU38" s="333" t="s">
        <v>766</v>
      </c>
      <c r="AV38" s="336" t="s">
        <v>204</v>
      </c>
      <c r="AW38" s="336" t="s">
        <v>269</v>
      </c>
      <c r="AX38" s="333" t="s">
        <v>126</v>
      </c>
      <c r="AY38" s="343"/>
    </row>
    <row r="39" customFormat="false" ht="25.35" hidden="false" customHeight="false" outlineLevel="0" collapsed="false">
      <c r="A39" s="344" t="s">
        <v>272</v>
      </c>
      <c r="B39" s="345" t="s">
        <v>820</v>
      </c>
      <c r="C39" s="345" t="s">
        <v>271</v>
      </c>
      <c r="D39" s="342" t="s">
        <v>637</v>
      </c>
      <c r="E39" s="342" t="s">
        <v>776</v>
      </c>
      <c r="F39" s="342" t="s">
        <v>777</v>
      </c>
      <c r="G39" s="345" t="s">
        <v>778</v>
      </c>
      <c r="H39" s="342" t="s">
        <v>765</v>
      </c>
      <c r="I39" s="338" t="n">
        <v>4.5</v>
      </c>
      <c r="J39" s="346" t="n">
        <v>0</v>
      </c>
      <c r="K39" s="338"/>
      <c r="L39" s="347" t="str">
        <f aca="false">IF(OR(K39="",J39=""),"",K39*(1+J39))</f>
        <v/>
      </c>
      <c r="M39" s="348" t="n">
        <v>1531</v>
      </c>
      <c r="N39" s="348" t="n">
        <v>13</v>
      </c>
      <c r="O39" s="338" t="n">
        <v>7.28</v>
      </c>
      <c r="P39" s="348" t="n">
        <v>0</v>
      </c>
      <c r="Q39" s="338" t="n">
        <v>0</v>
      </c>
      <c r="R39" s="349" t="n">
        <f aca="false">IF(M39=0,0,N39/M39)</f>
        <v>0.0084911822338341</v>
      </c>
      <c r="S39" s="349" t="n">
        <f aca="false">IF(N39=0,0,P39/N39)</f>
        <v>0</v>
      </c>
      <c r="T39" s="347" t="n">
        <f aca="false">IF(N39=0,0,O39/N39)</f>
        <v>0.56</v>
      </c>
      <c r="U39" s="349" t="str">
        <f aca="false">IF(Q39=0,"",O39/Q39)</f>
        <v/>
      </c>
      <c r="V39" s="350" t="n">
        <f aca="false">IF(O39=0,0,Q39/O39)</f>
        <v>0</v>
      </c>
      <c r="W39" s="348" t="n">
        <v>13</v>
      </c>
      <c r="X39" s="338" t="n">
        <v>7.28</v>
      </c>
      <c r="Y39" s="348" t="n">
        <v>0</v>
      </c>
      <c r="Z39" s="338" t="n">
        <v>0</v>
      </c>
      <c r="AA39" s="349" t="n">
        <f aca="false">IF(W39=0,0,Y39/W39)</f>
        <v>0</v>
      </c>
      <c r="AB39" s="349" t="str">
        <f aca="false">IF(Z39=0,"",X39/Z39)</f>
        <v/>
      </c>
      <c r="AC39" s="348" t="n">
        <v>12</v>
      </c>
      <c r="AD39" s="338" t="n">
        <v>6.72</v>
      </c>
      <c r="AE39" s="348" t="n">
        <v>0</v>
      </c>
      <c r="AF39" s="338" t="n">
        <v>0</v>
      </c>
      <c r="AG39" s="349" t="n">
        <f aca="false">IF(AC39=0,0,AE39/AC39)</f>
        <v>0</v>
      </c>
      <c r="AH39" s="348" t="n">
        <v>3</v>
      </c>
      <c r="AI39" s="338" t="n">
        <v>1.68</v>
      </c>
      <c r="AJ39" s="348" t="n">
        <v>9</v>
      </c>
      <c r="AK39" s="338" t="n">
        <v>5.04</v>
      </c>
      <c r="AL39" s="348" t="n">
        <v>1</v>
      </c>
      <c r="AM39" s="338" t="n">
        <v>0.56</v>
      </c>
      <c r="AN39" s="348" t="n">
        <v>0</v>
      </c>
      <c r="AO39" s="338" t="n">
        <v>0</v>
      </c>
      <c r="AP39" s="349" t="n">
        <f aca="false">IF(O39=0,0,AO39/O39)</f>
        <v>0</v>
      </c>
      <c r="AQ39" s="351" t="str">
        <f aca="false">IF(N39&lt;Rules!$B$10,"Under 20 clicks: too early",IF(P39=0,"20+ clicks, 0 orders: negate / pause",IF(N39&lt;Rules!$B$11,"Under 100 clicks: watch",IF(S39&gt;=Rules!$B$12,"4%+: keep",IF(S39&gt;=Rules!$B$13,"2% to 4%: hold at lower bid","Under 2%: pause")))))</f>
        <v>Under 20 clicks: too early</v>
      </c>
      <c r="AR39" s="351" t="str">
        <f aca="false">IF(O39=0,"",IF(Q39=0,"Spend, no sales",IF(U39&gt;Rules!$B$33,"Above 3x break-even","Within 3x break-even")))</f>
        <v>Spend, no sales</v>
      </c>
      <c r="AS39" s="351" t="str">
        <f aca="false">IF(OR(J39="",H39&lt;&gt;"ENABLED"),"",IF(J39&gt;Rules!$B$9,"Above +300% cap","OK"))</f>
        <v>OK</v>
      </c>
      <c r="AT39" s="345" t="s">
        <v>96</v>
      </c>
      <c r="AU39" s="342" t="s">
        <v>766</v>
      </c>
      <c r="AV39" s="345" t="s">
        <v>204</v>
      </c>
      <c r="AW39" s="345" t="s">
        <v>274</v>
      </c>
      <c r="AX39" s="342" t="s">
        <v>126</v>
      </c>
      <c r="AY39" s="352"/>
    </row>
    <row r="40" customFormat="false" ht="37.3" hidden="false" customHeight="false" outlineLevel="0" collapsed="false">
      <c r="A40" s="353" t="s">
        <v>276</v>
      </c>
      <c r="B40" s="354" t="s">
        <v>821</v>
      </c>
      <c r="C40" s="354" t="s">
        <v>275</v>
      </c>
      <c r="D40" s="351" t="s">
        <v>761</v>
      </c>
      <c r="E40" s="351" t="s">
        <v>796</v>
      </c>
      <c r="F40" s="351" t="s">
        <v>769</v>
      </c>
      <c r="G40" s="354" t="s">
        <v>786</v>
      </c>
      <c r="H40" s="351" t="s">
        <v>765</v>
      </c>
      <c r="I40" s="347" t="n">
        <v>8.83</v>
      </c>
      <c r="J40" s="355" t="n">
        <v>4.4</v>
      </c>
      <c r="K40" s="347"/>
      <c r="L40" s="356" t="str">
        <f aca="false">IF(OR(K40="",J40=""),"",K40*(1+J40))</f>
        <v/>
      </c>
      <c r="M40" s="357" t="n">
        <v>234</v>
      </c>
      <c r="N40" s="357" t="n">
        <v>2</v>
      </c>
      <c r="O40" s="347" t="n">
        <v>6.03</v>
      </c>
      <c r="P40" s="357" t="n">
        <v>0</v>
      </c>
      <c r="Q40" s="347" t="n">
        <v>0</v>
      </c>
      <c r="R40" s="358" t="n">
        <f aca="false">IF(M40=0,0,N40/M40)</f>
        <v>0.00854700854700855</v>
      </c>
      <c r="S40" s="358" t="n">
        <f aca="false">IF(N40=0,0,P40/N40)</f>
        <v>0</v>
      </c>
      <c r="T40" s="356" t="n">
        <f aca="false">IF(N40=0,0,O40/N40)</f>
        <v>3.015</v>
      </c>
      <c r="U40" s="358" t="str">
        <f aca="false">IF(Q40=0,"",O40/Q40)</f>
        <v/>
      </c>
      <c r="V40" s="359" t="n">
        <f aca="false">IF(O40=0,0,Q40/O40)</f>
        <v>0</v>
      </c>
      <c r="W40" s="357" t="n">
        <v>0</v>
      </c>
      <c r="X40" s="347" t="n">
        <v>0</v>
      </c>
      <c r="Y40" s="357" t="n">
        <v>0</v>
      </c>
      <c r="Z40" s="347" t="n">
        <v>0</v>
      </c>
      <c r="AA40" s="358" t="n">
        <f aca="false">IF(W40=0,0,Y40/W40)</f>
        <v>0</v>
      </c>
      <c r="AB40" s="358" t="str">
        <f aca="false">IF(Z40=0,"",X40/Z40)</f>
        <v/>
      </c>
      <c r="AC40" s="357" t="n">
        <v>0</v>
      </c>
      <c r="AD40" s="347" t="n">
        <v>0</v>
      </c>
      <c r="AE40" s="357" t="n">
        <v>0</v>
      </c>
      <c r="AF40" s="347" t="n">
        <v>0</v>
      </c>
      <c r="AG40" s="358" t="n">
        <f aca="false">IF(AC40=0,0,AE40/AC40)</f>
        <v>0</v>
      </c>
      <c r="AH40" s="357" t="n">
        <v>2</v>
      </c>
      <c r="AI40" s="347" t="n">
        <v>6.03</v>
      </c>
      <c r="AJ40" s="357" t="n">
        <v>0</v>
      </c>
      <c r="AK40" s="347" t="n">
        <v>0</v>
      </c>
      <c r="AL40" s="357" t="n">
        <v>0</v>
      </c>
      <c r="AM40" s="347" t="n">
        <v>0</v>
      </c>
      <c r="AN40" s="357" t="n">
        <v>0</v>
      </c>
      <c r="AO40" s="347" t="n">
        <v>0</v>
      </c>
      <c r="AP40" s="358" t="n">
        <f aca="false">IF(O40=0,0,AO40/O40)</f>
        <v>0</v>
      </c>
      <c r="AQ40" s="360" t="str">
        <f aca="false">IF(N40&lt;Rules!$B$10,"Under 20 clicks: too early",IF(P40=0,"20+ clicks, 0 orders: negate / pause",IF(N40&lt;Rules!$B$11,"Under 100 clicks: watch",IF(S40&gt;=Rules!$B$12,"4%+: keep",IF(S40&gt;=Rules!$B$13,"2% to 4%: hold at lower bid","Under 2%: pause")))))</f>
        <v>Under 20 clicks: too early</v>
      </c>
      <c r="AR40" s="360" t="str">
        <f aca="false">IF(O40=0,"",IF(Q40=0,"Spend, no sales",IF(U40&gt;Rules!$B$33,"Above 3x break-even","Within 3x break-even")))</f>
        <v>Spend, no sales</v>
      </c>
      <c r="AS40" s="360" t="str">
        <f aca="false">IF(OR(J40="",H40&lt;&gt;"ENABLED"),"",IF(J40&gt;Rules!$B$9,"Above +300% cap","OK"))</f>
        <v>Above +300% cap</v>
      </c>
      <c r="AT40" s="354" t="s">
        <v>96</v>
      </c>
      <c r="AU40" s="351" t="s">
        <v>766</v>
      </c>
      <c r="AV40" s="354" t="s">
        <v>204</v>
      </c>
      <c r="AW40" s="354" t="s">
        <v>277</v>
      </c>
      <c r="AX40" s="351" t="s">
        <v>126</v>
      </c>
      <c r="AY40" s="361"/>
    </row>
    <row r="41" customFormat="false" ht="25.35" hidden="false" customHeight="false" outlineLevel="0" collapsed="false">
      <c r="A41" s="362" t="s">
        <v>280</v>
      </c>
      <c r="B41" s="363" t="s">
        <v>822</v>
      </c>
      <c r="C41" s="363" t="s">
        <v>279</v>
      </c>
      <c r="D41" s="360" t="s">
        <v>637</v>
      </c>
      <c r="E41" s="360" t="s">
        <v>776</v>
      </c>
      <c r="F41" s="360" t="s">
        <v>777</v>
      </c>
      <c r="G41" s="363" t="s">
        <v>778</v>
      </c>
      <c r="H41" s="360" t="s">
        <v>765</v>
      </c>
      <c r="I41" s="356" t="n">
        <v>4.5</v>
      </c>
      <c r="J41" s="364" t="n">
        <v>0</v>
      </c>
      <c r="K41" s="356"/>
      <c r="L41" s="365" t="str">
        <f aca="false">IF(OR(K41="",J41=""),"",K41*(1+J41))</f>
        <v/>
      </c>
      <c r="M41" s="366" t="n">
        <v>966</v>
      </c>
      <c r="N41" s="366" t="n">
        <v>4</v>
      </c>
      <c r="O41" s="356" t="n">
        <v>2.36</v>
      </c>
      <c r="P41" s="366" t="n">
        <v>0</v>
      </c>
      <c r="Q41" s="356" t="n">
        <v>0</v>
      </c>
      <c r="R41" s="367" t="n">
        <f aca="false">IF(M41=0,0,N41/M41)</f>
        <v>0.0041407867494824</v>
      </c>
      <c r="S41" s="367" t="n">
        <f aca="false">IF(N41=0,0,P41/N41)</f>
        <v>0</v>
      </c>
      <c r="T41" s="365" t="n">
        <f aca="false">IF(N41=0,0,O41/N41)</f>
        <v>0.59</v>
      </c>
      <c r="U41" s="367" t="str">
        <f aca="false">IF(Q41=0,"",O41/Q41)</f>
        <v/>
      </c>
      <c r="V41" s="368" t="n">
        <f aca="false">IF(O41=0,0,Q41/O41)</f>
        <v>0</v>
      </c>
      <c r="W41" s="366" t="n">
        <v>4</v>
      </c>
      <c r="X41" s="356" t="n">
        <v>2.36</v>
      </c>
      <c r="Y41" s="366" t="n">
        <v>0</v>
      </c>
      <c r="Z41" s="356" t="n">
        <v>0</v>
      </c>
      <c r="AA41" s="367" t="n">
        <f aca="false">IF(W41=0,0,Y41/W41)</f>
        <v>0</v>
      </c>
      <c r="AB41" s="367" t="str">
        <f aca="false">IF(Z41=0,"",X41/Z41)</f>
        <v/>
      </c>
      <c r="AC41" s="366" t="n">
        <v>3</v>
      </c>
      <c r="AD41" s="356" t="n">
        <v>1.77</v>
      </c>
      <c r="AE41" s="366" t="n">
        <v>0</v>
      </c>
      <c r="AF41" s="356" t="n">
        <v>0</v>
      </c>
      <c r="AG41" s="367" t="n">
        <f aca="false">IF(AC41=0,0,AE41/AC41)</f>
        <v>0</v>
      </c>
      <c r="AH41" s="366" t="n">
        <v>0</v>
      </c>
      <c r="AI41" s="356" t="n">
        <v>0</v>
      </c>
      <c r="AJ41" s="366" t="n">
        <v>4</v>
      </c>
      <c r="AK41" s="356" t="n">
        <v>2.36</v>
      </c>
      <c r="AL41" s="366" t="n">
        <v>0</v>
      </c>
      <c r="AM41" s="356" t="n">
        <v>0</v>
      </c>
      <c r="AN41" s="366" t="n">
        <v>0</v>
      </c>
      <c r="AO41" s="356" t="n">
        <v>0</v>
      </c>
      <c r="AP41" s="367" t="n">
        <f aca="false">IF(O41=0,0,AO41/O41)</f>
        <v>0</v>
      </c>
      <c r="AQ41" s="369" t="str">
        <f aca="false">IF(N41&lt;Rules!$B$10,"Under 20 clicks: too early",IF(P41=0,"20+ clicks, 0 orders: negate / pause",IF(N41&lt;Rules!$B$11,"Under 100 clicks: watch",IF(S41&gt;=Rules!$B$12,"4%+: keep",IF(S41&gt;=Rules!$B$13,"2% to 4%: hold at lower bid","Under 2%: pause")))))</f>
        <v>Under 20 clicks: too early</v>
      </c>
      <c r="AR41" s="369" t="str">
        <f aca="false">IF(O41=0,"",IF(Q41=0,"Spend, no sales",IF(U41&gt;Rules!$B$33,"Above 3x break-even","Within 3x break-even")))</f>
        <v>Spend, no sales</v>
      </c>
      <c r="AS41" s="369" t="str">
        <f aca="false">IF(OR(J41="",H41&lt;&gt;"ENABLED"),"",IF(J41&gt;Rules!$B$9,"Above +300% cap","OK"))</f>
        <v>OK</v>
      </c>
      <c r="AT41" s="363" t="s">
        <v>96</v>
      </c>
      <c r="AU41" s="360" t="s">
        <v>766</v>
      </c>
      <c r="AV41" s="363" t="s">
        <v>204</v>
      </c>
      <c r="AW41" s="363" t="s">
        <v>282</v>
      </c>
      <c r="AX41" s="360" t="s">
        <v>126</v>
      </c>
      <c r="AY41" s="370"/>
    </row>
    <row r="42" customFormat="false" ht="49.25" hidden="false" customHeight="false" outlineLevel="0" collapsed="false">
      <c r="A42" s="371" t="s">
        <v>189</v>
      </c>
      <c r="B42" s="372" t="s">
        <v>823</v>
      </c>
      <c r="C42" s="372" t="s">
        <v>824</v>
      </c>
      <c r="D42" s="369" t="s">
        <v>761</v>
      </c>
      <c r="E42" s="369" t="s">
        <v>803</v>
      </c>
      <c r="F42" s="369" t="s">
        <v>769</v>
      </c>
      <c r="G42" s="372" t="s">
        <v>770</v>
      </c>
      <c r="H42" s="369" t="s">
        <v>765</v>
      </c>
      <c r="I42" s="365" t="n">
        <v>19.76</v>
      </c>
      <c r="J42" s="373" t="n">
        <v>3.8</v>
      </c>
      <c r="K42" s="365"/>
      <c r="L42" s="374" t="str">
        <f aca="false">IF(OR(K42="",J42=""),"",K42*(1+J42))</f>
        <v/>
      </c>
      <c r="M42" s="375" t="n">
        <v>46</v>
      </c>
      <c r="N42" s="375" t="n">
        <v>2</v>
      </c>
      <c r="O42" s="365" t="n">
        <v>2.26</v>
      </c>
      <c r="P42" s="375" t="n">
        <v>0</v>
      </c>
      <c r="Q42" s="365" t="n">
        <v>0</v>
      </c>
      <c r="R42" s="376" t="n">
        <f aca="false">IF(M42=0,0,N42/M42)</f>
        <v>0.0434782608695652</v>
      </c>
      <c r="S42" s="376" t="n">
        <f aca="false">IF(N42=0,0,P42/N42)</f>
        <v>0</v>
      </c>
      <c r="T42" s="374" t="n">
        <f aca="false">IF(N42=0,0,O42/N42)</f>
        <v>1.13</v>
      </c>
      <c r="U42" s="376" t="str">
        <f aca="false">IF(Q42=0,"",O42/Q42)</f>
        <v/>
      </c>
      <c r="V42" s="377" t="n">
        <f aca="false">IF(O42=0,0,Q42/O42)</f>
        <v>0</v>
      </c>
      <c r="W42" s="375" t="n">
        <v>1</v>
      </c>
      <c r="X42" s="365" t="n">
        <v>1.11</v>
      </c>
      <c r="Y42" s="375" t="n">
        <v>0</v>
      </c>
      <c r="Z42" s="365" t="n">
        <v>0</v>
      </c>
      <c r="AA42" s="376" t="n">
        <f aca="false">IF(W42=0,0,Y42/W42)</f>
        <v>0</v>
      </c>
      <c r="AB42" s="376" t="str">
        <f aca="false">IF(Z42=0,"",X42/Z42)</f>
        <v/>
      </c>
      <c r="AC42" s="375" t="n">
        <v>1</v>
      </c>
      <c r="AD42" s="365" t="n">
        <v>1.11</v>
      </c>
      <c r="AE42" s="375" t="n">
        <v>0</v>
      </c>
      <c r="AF42" s="365" t="n">
        <v>0</v>
      </c>
      <c r="AG42" s="376" t="n">
        <f aca="false">IF(AC42=0,0,AE42/AC42)</f>
        <v>0</v>
      </c>
      <c r="AH42" s="375" t="n">
        <v>2</v>
      </c>
      <c r="AI42" s="365" t="n">
        <v>2.26</v>
      </c>
      <c r="AJ42" s="375" t="n">
        <v>0</v>
      </c>
      <c r="AK42" s="365" t="n">
        <v>0</v>
      </c>
      <c r="AL42" s="375" t="n">
        <v>0</v>
      </c>
      <c r="AM42" s="365" t="n">
        <v>0</v>
      </c>
      <c r="AN42" s="375" t="n">
        <v>0</v>
      </c>
      <c r="AO42" s="365" t="n">
        <v>0</v>
      </c>
      <c r="AP42" s="376" t="n">
        <f aca="false">IF(O42=0,0,AO42/O42)</f>
        <v>0</v>
      </c>
      <c r="AQ42" s="378" t="str">
        <f aca="false">IF(N42&lt;Rules!$B$10,"Under 20 clicks: too early",IF(P42=0,"20+ clicks, 0 orders: negate / pause",IF(N42&lt;Rules!$B$11,"Under 100 clicks: watch",IF(S42&gt;=Rules!$B$12,"4%+: keep",IF(S42&gt;=Rules!$B$13,"2% to 4%: hold at lower bid","Under 2%: pause")))))</f>
        <v>Under 20 clicks: too early</v>
      </c>
      <c r="AR42" s="378" t="str">
        <f aca="false">IF(O42=0,"",IF(Q42=0,"Spend, no sales",IF(U42&gt;Rules!$B$33,"Above 3x break-even","Within 3x break-even")))</f>
        <v>Spend, no sales</v>
      </c>
      <c r="AS42" s="378" t="str">
        <f aca="false">IF(OR(J42="",H42&lt;&gt;"ENABLED"),"",IF(J42&gt;Rules!$B$9,"Above +300% cap","OK"))</f>
        <v>Above +300% cap</v>
      </c>
      <c r="AT42" s="372" t="s">
        <v>95</v>
      </c>
      <c r="AU42" s="369" t="s">
        <v>766</v>
      </c>
      <c r="AV42" s="372" t="s">
        <v>185</v>
      </c>
      <c r="AW42" s="372" t="s">
        <v>190</v>
      </c>
      <c r="AX42" s="369" t="s">
        <v>126</v>
      </c>
      <c r="AY42" s="379"/>
    </row>
    <row r="43" customFormat="false" ht="37.3" hidden="false" customHeight="false" outlineLevel="0" collapsed="false">
      <c r="A43" s="380" t="s">
        <v>133</v>
      </c>
      <c r="B43" s="381" t="s">
        <v>825</v>
      </c>
      <c r="C43" s="381" t="s">
        <v>826</v>
      </c>
      <c r="D43" s="378" t="s">
        <v>761</v>
      </c>
      <c r="E43" s="378" t="s">
        <v>572</v>
      </c>
      <c r="F43" s="378" t="s">
        <v>769</v>
      </c>
      <c r="G43" s="381" t="s">
        <v>773</v>
      </c>
      <c r="H43" s="378" t="s">
        <v>765</v>
      </c>
      <c r="I43" s="374" t="n">
        <v>11.32</v>
      </c>
      <c r="J43" s="382" t="n">
        <v>3.8</v>
      </c>
      <c r="K43" s="374"/>
      <c r="L43" s="383" t="str">
        <f aca="false">IF(OR(K43="",J43=""),"",K43*(1+J43))</f>
        <v/>
      </c>
      <c r="M43" s="384" t="n">
        <v>16</v>
      </c>
      <c r="N43" s="384" t="n">
        <v>4</v>
      </c>
      <c r="O43" s="374" t="n">
        <v>1.38</v>
      </c>
      <c r="P43" s="384" t="n">
        <v>0</v>
      </c>
      <c r="Q43" s="374" t="n">
        <v>0</v>
      </c>
      <c r="R43" s="385" t="n">
        <f aca="false">IF(M43=0,0,N43/M43)</f>
        <v>0.25</v>
      </c>
      <c r="S43" s="385" t="n">
        <f aca="false">IF(N43=0,0,P43/N43)</f>
        <v>0</v>
      </c>
      <c r="T43" s="383" t="n">
        <f aca="false">IF(N43=0,0,O43/N43)</f>
        <v>0.345</v>
      </c>
      <c r="U43" s="385" t="str">
        <f aca="false">IF(Q43=0,"",O43/Q43)</f>
        <v/>
      </c>
      <c r="V43" s="386" t="n">
        <f aca="false">IF(O43=0,0,Q43/O43)</f>
        <v>0</v>
      </c>
      <c r="W43" s="384" t="n">
        <v>0</v>
      </c>
      <c r="X43" s="374" t="n">
        <v>0</v>
      </c>
      <c r="Y43" s="384" t="n">
        <v>0</v>
      </c>
      <c r="Z43" s="374" t="n">
        <v>0</v>
      </c>
      <c r="AA43" s="385" t="n">
        <f aca="false">IF(W43=0,0,Y43/W43)</f>
        <v>0</v>
      </c>
      <c r="AB43" s="385" t="str">
        <f aca="false">IF(Z43=0,"",X43/Z43)</f>
        <v/>
      </c>
      <c r="AC43" s="384" t="n">
        <v>0</v>
      </c>
      <c r="AD43" s="374" t="n">
        <v>0</v>
      </c>
      <c r="AE43" s="384" t="n">
        <v>0</v>
      </c>
      <c r="AF43" s="374" t="n">
        <v>0</v>
      </c>
      <c r="AG43" s="385" t="n">
        <f aca="false">IF(AC43=0,0,AE43/AC43)</f>
        <v>0</v>
      </c>
      <c r="AH43" s="384" t="n">
        <v>4</v>
      </c>
      <c r="AI43" s="374" t="n">
        <v>1.38</v>
      </c>
      <c r="AJ43" s="384" t="n">
        <v>0</v>
      </c>
      <c r="AK43" s="374" t="n">
        <v>0</v>
      </c>
      <c r="AL43" s="384" t="n">
        <v>0</v>
      </c>
      <c r="AM43" s="374" t="n">
        <v>0</v>
      </c>
      <c r="AN43" s="384" t="n">
        <v>0</v>
      </c>
      <c r="AO43" s="374" t="n">
        <v>0</v>
      </c>
      <c r="AP43" s="385" t="n">
        <f aca="false">IF(O43=0,0,AO43/O43)</f>
        <v>0</v>
      </c>
      <c r="AQ43" s="387" t="str">
        <f aca="false">IF(N43&lt;Rules!$B$10,"Under 20 clicks: too early",IF(P43=0,"20+ clicks, 0 orders: negate / pause",IF(N43&lt;Rules!$B$11,"Under 100 clicks: watch",IF(S43&gt;=Rules!$B$12,"4%+: keep",IF(S43&gt;=Rules!$B$13,"2% to 4%: hold at lower bid","Under 2%: pause")))))</f>
        <v>Under 20 clicks: too early</v>
      </c>
      <c r="AR43" s="387" t="str">
        <f aca="false">IF(O43=0,"",IF(Q43=0,"Spend, no sales",IF(U43&gt;Rules!$B$33,"Above 3x break-even","Within 3x break-even")))</f>
        <v>Spend, no sales</v>
      </c>
      <c r="AS43" s="387" t="str">
        <f aca="false">IF(OR(J43="",H43&lt;&gt;"ENABLED"),"",IF(J43&gt;Rules!$B$9,"Above +300% cap","OK"))</f>
        <v>Above +300% cap</v>
      </c>
      <c r="AT43" s="381" t="s">
        <v>93</v>
      </c>
      <c r="AU43" s="378" t="s">
        <v>765</v>
      </c>
      <c r="AV43" s="381" t="s">
        <v>134</v>
      </c>
      <c r="AW43" s="381" t="s">
        <v>135</v>
      </c>
      <c r="AX43" s="378" t="s">
        <v>126</v>
      </c>
      <c r="AY43" s="388"/>
    </row>
    <row r="44" customFormat="false" ht="25.35" hidden="false" customHeight="false" outlineLevel="0" collapsed="false">
      <c r="A44" s="389" t="s">
        <v>284</v>
      </c>
      <c r="B44" s="390" t="s">
        <v>827</v>
      </c>
      <c r="C44" s="390" t="s">
        <v>283</v>
      </c>
      <c r="D44" s="387" t="s">
        <v>637</v>
      </c>
      <c r="E44" s="387" t="s">
        <v>776</v>
      </c>
      <c r="F44" s="387" t="s">
        <v>777</v>
      </c>
      <c r="G44" s="390" t="s">
        <v>778</v>
      </c>
      <c r="H44" s="387" t="s">
        <v>765</v>
      </c>
      <c r="I44" s="383" t="n">
        <v>4.5</v>
      </c>
      <c r="J44" s="391" t="n">
        <v>0</v>
      </c>
      <c r="K44" s="383"/>
      <c r="L44" s="392" t="str">
        <f aca="false">IF(OR(K44="",J44=""),"",K44*(1+J44))</f>
        <v/>
      </c>
      <c r="M44" s="393" t="n">
        <v>367</v>
      </c>
      <c r="N44" s="393" t="n">
        <v>1</v>
      </c>
      <c r="O44" s="383" t="n">
        <v>0.59</v>
      </c>
      <c r="P44" s="393" t="n">
        <v>0</v>
      </c>
      <c r="Q44" s="383" t="n">
        <v>0</v>
      </c>
      <c r="R44" s="394" t="n">
        <f aca="false">IF(M44=0,0,N44/M44)</f>
        <v>0.00272479564032698</v>
      </c>
      <c r="S44" s="394" t="n">
        <f aca="false">IF(N44=0,0,P44/N44)</f>
        <v>0</v>
      </c>
      <c r="T44" s="392" t="n">
        <f aca="false">IF(N44=0,0,O44/N44)</f>
        <v>0.59</v>
      </c>
      <c r="U44" s="394" t="str">
        <f aca="false">IF(Q44=0,"",O44/Q44)</f>
        <v/>
      </c>
      <c r="V44" s="395" t="n">
        <f aca="false">IF(O44=0,0,Q44/O44)</f>
        <v>0</v>
      </c>
      <c r="W44" s="393" t="n">
        <v>1</v>
      </c>
      <c r="X44" s="383" t="n">
        <v>0.59</v>
      </c>
      <c r="Y44" s="393" t="n">
        <v>0</v>
      </c>
      <c r="Z44" s="383" t="n">
        <v>0</v>
      </c>
      <c r="AA44" s="394" t="n">
        <f aca="false">IF(W44=0,0,Y44/W44)</f>
        <v>0</v>
      </c>
      <c r="AB44" s="394" t="str">
        <f aca="false">IF(Z44=0,"",X44/Z44)</f>
        <v/>
      </c>
      <c r="AC44" s="393" t="n">
        <v>0</v>
      </c>
      <c r="AD44" s="383" t="n">
        <v>0</v>
      </c>
      <c r="AE44" s="393" t="n">
        <v>0</v>
      </c>
      <c r="AF44" s="383" t="n">
        <v>0</v>
      </c>
      <c r="AG44" s="394" t="n">
        <f aca="false">IF(AC44=0,0,AE44/AC44)</f>
        <v>0</v>
      </c>
      <c r="AH44" s="393" t="n">
        <v>0</v>
      </c>
      <c r="AI44" s="383" t="n">
        <v>0</v>
      </c>
      <c r="AJ44" s="393" t="n">
        <v>1</v>
      </c>
      <c r="AK44" s="383" t="n">
        <v>0.59</v>
      </c>
      <c r="AL44" s="393" t="n">
        <v>0</v>
      </c>
      <c r="AM44" s="383" t="n">
        <v>0</v>
      </c>
      <c r="AN44" s="393" t="n">
        <v>0</v>
      </c>
      <c r="AO44" s="383" t="n">
        <v>0</v>
      </c>
      <c r="AP44" s="394" t="n">
        <f aca="false">IF(O44=0,0,AO44/O44)</f>
        <v>0</v>
      </c>
      <c r="AQ44" s="396" t="str">
        <f aca="false">IF(N44&lt;Rules!$B$10,"Under 20 clicks: too early",IF(P44=0,"20+ clicks, 0 orders: negate / pause",IF(N44&lt;Rules!$B$11,"Under 100 clicks: watch",IF(S44&gt;=Rules!$B$12,"4%+: keep",IF(S44&gt;=Rules!$B$13,"2% to 4%: hold at lower bid","Under 2%: pause")))))</f>
        <v>Under 20 clicks: too early</v>
      </c>
      <c r="AR44" s="396" t="str">
        <f aca="false">IF(O44=0,"",IF(Q44=0,"Spend, no sales",IF(U44&gt;Rules!$B$33,"Above 3x break-even","Within 3x break-even")))</f>
        <v>Spend, no sales</v>
      </c>
      <c r="AS44" s="396" t="str">
        <f aca="false">IF(OR(J44="",H44&lt;&gt;"ENABLED"),"",IF(J44&gt;Rules!$B$9,"Above +300% cap","OK"))</f>
        <v>OK</v>
      </c>
      <c r="AT44" s="390" t="s">
        <v>96</v>
      </c>
      <c r="AU44" s="387" t="s">
        <v>766</v>
      </c>
      <c r="AV44" s="390" t="s">
        <v>204</v>
      </c>
      <c r="AW44" s="390" t="s">
        <v>286</v>
      </c>
      <c r="AX44" s="387" t="s">
        <v>126</v>
      </c>
      <c r="AY44" s="397"/>
    </row>
    <row r="45" customFormat="false" ht="37.3" hidden="false" customHeight="false" outlineLevel="0" collapsed="false">
      <c r="A45" s="398" t="s">
        <v>288</v>
      </c>
      <c r="B45" s="399" t="s">
        <v>828</v>
      </c>
      <c r="C45" s="399" t="s">
        <v>287</v>
      </c>
      <c r="D45" s="396" t="s">
        <v>761</v>
      </c>
      <c r="E45" s="396" t="s">
        <v>784</v>
      </c>
      <c r="F45" s="396" t="s">
        <v>769</v>
      </c>
      <c r="G45" s="399" t="s">
        <v>770</v>
      </c>
      <c r="H45" s="396" t="s">
        <v>765</v>
      </c>
      <c r="I45" s="392" t="n">
        <v>6.59</v>
      </c>
      <c r="J45" s="400" t="n">
        <v>3.8</v>
      </c>
      <c r="K45" s="392"/>
      <c r="L45" s="7" t="str">
        <f aca="false">IF(OR(K45="",J45=""),"",K45*(1+J45))</f>
        <v/>
      </c>
      <c r="M45" s="401" t="n">
        <v>7</v>
      </c>
      <c r="N45" s="401" t="n">
        <v>1</v>
      </c>
      <c r="O45" s="392" t="n">
        <v>0.5</v>
      </c>
      <c r="P45" s="401" t="n">
        <v>0</v>
      </c>
      <c r="Q45" s="392" t="n">
        <v>0</v>
      </c>
      <c r="R45" s="10" t="n">
        <f aca="false">IF(M45=0,0,N45/M45)</f>
        <v>0.142857142857143</v>
      </c>
      <c r="S45" s="10" t="n">
        <f aca="false">IF(N45=0,0,P45/N45)</f>
        <v>0</v>
      </c>
      <c r="T45" s="7" t="n">
        <f aca="false">IF(N45=0,0,O45/N45)</f>
        <v>0.5</v>
      </c>
      <c r="U45" s="10" t="str">
        <f aca="false">IF(Q45=0,"",O45/Q45)</f>
        <v/>
      </c>
      <c r="V45" s="402" t="n">
        <f aca="false">IF(O45=0,0,Q45/O45)</f>
        <v>0</v>
      </c>
      <c r="W45" s="401" t="n">
        <v>0</v>
      </c>
      <c r="X45" s="392" t="n">
        <v>0</v>
      </c>
      <c r="Y45" s="401" t="n">
        <v>0</v>
      </c>
      <c r="Z45" s="392" t="n">
        <v>0</v>
      </c>
      <c r="AA45" s="10" t="n">
        <f aca="false">IF(W45=0,0,Y45/W45)</f>
        <v>0</v>
      </c>
      <c r="AB45" s="10" t="str">
        <f aca="false">IF(Z45=0,"",X45/Z45)</f>
        <v/>
      </c>
      <c r="AC45" s="401" t="n">
        <v>0</v>
      </c>
      <c r="AD45" s="392" t="n">
        <v>0</v>
      </c>
      <c r="AE45" s="401" t="n">
        <v>0</v>
      </c>
      <c r="AF45" s="392" t="n">
        <v>0</v>
      </c>
      <c r="AG45" s="10" t="n">
        <f aca="false">IF(AC45=0,0,AE45/AC45)</f>
        <v>0</v>
      </c>
      <c r="AH45" s="401" t="n">
        <v>0</v>
      </c>
      <c r="AI45" s="392" t="n">
        <v>0</v>
      </c>
      <c r="AJ45" s="401" t="n">
        <v>0</v>
      </c>
      <c r="AK45" s="392" t="n">
        <v>0</v>
      </c>
      <c r="AL45" s="401" t="n">
        <v>1</v>
      </c>
      <c r="AM45" s="392" t="n">
        <v>0.5</v>
      </c>
      <c r="AN45" s="401" t="n">
        <v>0</v>
      </c>
      <c r="AO45" s="392" t="n">
        <v>0</v>
      </c>
      <c r="AP45" s="10" t="n">
        <f aca="false">IF(O45=0,0,AO45/O45)</f>
        <v>0</v>
      </c>
      <c r="AQ45" s="8" t="str">
        <f aca="false">IF(N45&lt;Rules!$B$10,"Under 20 clicks: too early",IF(P45=0,"20+ clicks, 0 orders: negate / pause",IF(N45&lt;Rules!$B$11,"Under 100 clicks: watch",IF(S45&gt;=Rules!$B$12,"4%+: keep",IF(S45&gt;=Rules!$B$13,"2% to 4%: hold at lower bid","Under 2%: pause")))))</f>
        <v>Under 20 clicks: too early</v>
      </c>
      <c r="AR45" s="8" t="str">
        <f aca="false">IF(O45=0,"",IF(Q45=0,"Spend, no sales",IF(U45&gt;Rules!$B$33,"Above 3x break-even","Within 3x break-even")))</f>
        <v>Spend, no sales</v>
      </c>
      <c r="AS45" s="8" t="str">
        <f aca="false">IF(OR(J45="",H45&lt;&gt;"ENABLED"),"",IF(J45&gt;Rules!$B$9,"Above +300% cap","OK"))</f>
        <v>Above +300% cap</v>
      </c>
      <c r="AT45" s="399" t="s">
        <v>96</v>
      </c>
      <c r="AU45" s="396" t="s">
        <v>766</v>
      </c>
      <c r="AV45" s="399" t="s">
        <v>204</v>
      </c>
      <c r="AW45" s="399" t="s">
        <v>289</v>
      </c>
      <c r="AX45" s="396" t="s">
        <v>126</v>
      </c>
      <c r="AY45" s="403"/>
    </row>
    <row r="46" customFormat="false" ht="15" hidden="false" customHeight="false" outlineLevel="0" collapsed="false">
      <c r="A46" s="13" t="s">
        <v>829</v>
      </c>
      <c r="B46" s="13"/>
      <c r="C46" s="13"/>
      <c r="D46" s="13"/>
      <c r="E46" s="13"/>
      <c r="F46" s="13"/>
      <c r="G46" s="13"/>
      <c r="H46" s="13"/>
      <c r="I46" s="15" t="n">
        <f aca="false">SUMIFS(I6:I45,H6:H45,"ENABLED")</f>
        <v>210.88</v>
      </c>
      <c r="J46" s="27"/>
      <c r="K46" s="15"/>
      <c r="L46" s="15"/>
      <c r="M46" s="14" t="n">
        <f aca="false">SUM(M6:M45)</f>
        <v>184807</v>
      </c>
      <c r="N46" s="14" t="n">
        <f aca="false">SUM(N6:N45)</f>
        <v>3093</v>
      </c>
      <c r="O46" s="15" t="n">
        <f aca="false">SUM(O6:O45)</f>
        <v>1648.02</v>
      </c>
      <c r="P46" s="14" t="n">
        <f aca="false">SUM(P6:P45)</f>
        <v>34</v>
      </c>
      <c r="Q46" s="15" t="n">
        <f aca="false">SUM(Q6:Q45)</f>
        <v>1072.65</v>
      </c>
      <c r="R46" s="36" t="n">
        <f aca="false">IF(M46=0,0,N46/M46)</f>
        <v>0.0167363790332617</v>
      </c>
      <c r="S46" s="36" t="n">
        <f aca="false">IF(N46=0,0,P46/N46)</f>
        <v>0.0109925638538636</v>
      </c>
      <c r="T46" s="15" t="n">
        <f aca="false">IF(N46=0,0,O46/N46)</f>
        <v>0.53282250242483</v>
      </c>
      <c r="U46" s="36" t="n">
        <f aca="false">IF(Q46=0,"",O46/Q46)</f>
        <v>1.53640050342609</v>
      </c>
      <c r="V46" s="404" t="n">
        <f aca="false">IF(O46=0,0,Q46/O46)</f>
        <v>0.650871955437434</v>
      </c>
      <c r="W46" s="14" t="n">
        <f aca="false">SUM(W6:W45)</f>
        <v>486</v>
      </c>
      <c r="X46" s="15" t="n">
        <f aca="false">SUM(X6:X45)</f>
        <v>487.49</v>
      </c>
      <c r="Y46" s="14" t="n">
        <f aca="false">SUM(Y6:Y45)</f>
        <v>4</v>
      </c>
      <c r="Z46" s="15" t="n">
        <f aca="false">SUM(Z6:Z45)</f>
        <v>131.96</v>
      </c>
      <c r="AA46" s="36" t="n">
        <f aca="false">IF(W46=0,0,Y46/W46)</f>
        <v>0.00823045267489712</v>
      </c>
      <c r="AB46" s="36" t="n">
        <f aca="false">IF(Z46=0,"",X46/Z46)</f>
        <v>3.69422552288572</v>
      </c>
      <c r="AC46" s="14" t="n">
        <f aca="false">SUM(AC6:AC45)</f>
        <v>215</v>
      </c>
      <c r="AD46" s="15" t="n">
        <f aca="false">SUM(AD6:AD45)</f>
        <v>236.54</v>
      </c>
      <c r="AE46" s="14" t="n">
        <f aca="false">SUM(AE6:AE45)</f>
        <v>2</v>
      </c>
      <c r="AF46" s="15" t="n">
        <f aca="false">SUM(AF6:AF45)</f>
        <v>69.98</v>
      </c>
      <c r="AG46" s="36" t="n">
        <f aca="false">IF(AC46=0,0,AE46/AC46)</f>
        <v>0.00930232558139535</v>
      </c>
      <c r="AH46" s="14" t="n">
        <f aca="false">SUM(AH6:AH45)</f>
        <v>429</v>
      </c>
      <c r="AI46" s="15" t="n">
        <f aca="false">SUM(AI6:AI45)</f>
        <v>660.55</v>
      </c>
      <c r="AJ46" s="14" t="n">
        <f aca="false">SUM(AJ6:AJ45)</f>
        <v>922</v>
      </c>
      <c r="AK46" s="15" t="n">
        <f aca="false">SUM(AK6:AK45)</f>
        <v>611.42</v>
      </c>
      <c r="AL46" s="14" t="n">
        <f aca="false">SUM(AL6:AL45)</f>
        <v>53</v>
      </c>
      <c r="AM46" s="15" t="n">
        <f aca="false">SUM(AM6:AM45)</f>
        <v>39.72</v>
      </c>
      <c r="AN46" s="14" t="n">
        <f aca="false">SUM(AN6:AN45)</f>
        <v>1686</v>
      </c>
      <c r="AO46" s="15" t="n">
        <f aca="false">SUM(AO6:AO45)</f>
        <v>336.34</v>
      </c>
      <c r="AP46" s="36" t="n">
        <f aca="false">IF(O46=0,0,AO46/O46)</f>
        <v>0.204087329037269</v>
      </c>
      <c r="AQ46" s="13"/>
      <c r="AR46" s="13"/>
      <c r="AS46" s="13"/>
      <c r="AT46" s="13"/>
      <c r="AU46" s="13"/>
      <c r="AV46" s="13"/>
      <c r="AW46" s="13"/>
      <c r="AX46" s="13"/>
      <c r="AY46" s="13"/>
    </row>
  </sheetData>
  <autoFilter ref="A5:AY45"/>
  <mergeCells count="8">
    <mergeCell ref="A4:G4"/>
    <mergeCell ref="H4:L4"/>
    <mergeCell ref="M4:V4"/>
    <mergeCell ref="W4:AB4"/>
    <mergeCell ref="AC4:AG4"/>
    <mergeCell ref="AH4:AP4"/>
    <mergeCell ref="AQ4:AS4"/>
    <mergeCell ref="AT4:AY4"/>
  </mergeCells>
  <conditionalFormatting sqref="AT6:AT45">
    <cfRule type="expression" priority="2" aboveAverage="0" equalAverage="0" bottom="0" percent="0" rank="0" text="" dxfId="0">
      <formula>LEFT($AT6,1)="1"</formula>
    </cfRule>
    <cfRule type="expression" priority="3" aboveAverage="0" equalAverage="0" bottom="0" percent="0" rank="0" text="" dxfId="0">
      <formula>LEFT($AT6,1)="2"</formula>
    </cfRule>
    <cfRule type="expression" priority="4" aboveAverage="0" equalAverage="0" bottom="0" percent="0" rank="0" text="" dxfId="1">
      <formula>LEFT($AT6,1)="3"</formula>
    </cfRule>
    <cfRule type="expression" priority="5" aboveAverage="0" equalAverage="0" bottom="0" percent="0" rank="0" text="" dxfId="1">
      <formula>LEFT($AT6,1)="4"</formula>
    </cfRule>
    <cfRule type="expression" priority="6" aboveAverage="0" equalAverage="0" bottom="0" percent="0" rank="0" text="" dxfId="2">
      <formula>LEFT($AT6,1)="5"</formula>
    </cfRule>
  </conditionalFormatting>
  <conditionalFormatting sqref="H6:H45">
    <cfRule type="expression" priority="7" aboveAverage="0" equalAverage="0" bottom="0" percent="0" rank="0" text="" dxfId="0">
      <formula>$H6="ENABLED"</formula>
    </cfRule>
  </conditionalFormatting>
  <conditionalFormatting sqref="AU6:AU45">
    <cfRule type="expression" priority="8" aboveAverage="0" equalAverage="0" bottom="0" percent="0" rank="0" text="" dxfId="0">
      <formula>$AU6="ENABLED"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1" t="s">
        <v>830</v>
      </c>
    </row>
    <row r="2" customFormat="false" ht="15" hidden="false" customHeight="false" outlineLevel="0" collapsed="false">
      <c r="A2" s="12" t="s">
        <v>831</v>
      </c>
    </row>
    <row r="4" customFormat="false" ht="45" hidden="false" customHeight="true" outlineLevel="0" collapsed="false">
      <c r="A4" s="5" t="s">
        <v>737</v>
      </c>
      <c r="B4" s="5" t="s">
        <v>42</v>
      </c>
      <c r="C4" s="5" t="s">
        <v>74</v>
      </c>
      <c r="D4" s="5" t="s">
        <v>43</v>
      </c>
      <c r="E4" s="5" t="s">
        <v>44</v>
      </c>
      <c r="F4" s="5" t="s">
        <v>105</v>
      </c>
      <c r="G4" s="5" t="s">
        <v>45</v>
      </c>
      <c r="H4" s="5" t="s">
        <v>832</v>
      </c>
      <c r="I4" s="5" t="s">
        <v>106</v>
      </c>
      <c r="J4" s="5" t="s">
        <v>46</v>
      </c>
      <c r="K4" s="5" t="s">
        <v>90</v>
      </c>
      <c r="L4" s="5" t="s">
        <v>833</v>
      </c>
    </row>
    <row r="5" customFormat="false" ht="15" hidden="false" customHeight="false" outlineLevel="0" collapsed="false">
      <c r="A5" s="8" t="s">
        <v>572</v>
      </c>
      <c r="B5" s="9" t="n">
        <f aca="false">COUNTIF(Campaigns!$E$6:$E$45,$A5)</f>
        <v>1</v>
      </c>
      <c r="C5" s="9" t="n">
        <f aca="false">COUNTIFS(Campaigns!$E$6:$E$45,$A5,Campaigns!$H$6:$H$45,"ENABLED")</f>
        <v>1</v>
      </c>
      <c r="D5" s="9" t="n">
        <f aca="false">COUNTIFS(Campaigns!$E$6:$E$45,$A5,Campaigns!$AU$6:$AU$45,"ENABLED")</f>
        <v>1</v>
      </c>
      <c r="E5" s="7" t="n">
        <f aca="false">SUMIFS(Campaigns!$O$6:$O$45,Campaigns!$E$6:$E$45,$A5)</f>
        <v>1.38</v>
      </c>
      <c r="F5" s="9" t="n">
        <f aca="false">SUMIFS(Campaigns!$N$6:$N$45,Campaigns!$E$6:$E$45,$A5)</f>
        <v>4</v>
      </c>
      <c r="G5" s="9" t="n">
        <f aca="false">SUMIFS(Campaigns!$P$6:$P$45,Campaigns!$E$6:$E$45,$A5)</f>
        <v>0</v>
      </c>
      <c r="H5" s="10" t="n">
        <f aca="false">IF(F5=0,0,G5/F5)</f>
        <v>0</v>
      </c>
      <c r="I5" s="10" t="str">
        <f aca="false">IF(SUMIFS(Campaigns!$Q$6:$Q$45,Campaigns!$E$6:$E$45,$A5)=0,"",E5/SUMIFS(Campaigns!$Q$6:$Q$45,Campaigns!$E$6:$E$45,$A5))</f>
        <v/>
      </c>
      <c r="J5" s="7" t="n">
        <f aca="false">SUMIFS(Campaigns!$X$6:$X$45,Campaigns!$E$6:$E$45,$A5)</f>
        <v>0</v>
      </c>
      <c r="K5" s="9" t="n">
        <f aca="false">SUMIFS(Campaigns!$Y$6:$Y$45,Campaigns!$E$6:$E$45,$A5)</f>
        <v>0</v>
      </c>
      <c r="L5" s="10" t="n">
        <f aca="false">IF($J$13=0,0,J5/$J$13)</f>
        <v>0</v>
      </c>
    </row>
    <row r="6" customFormat="false" ht="15" hidden="false" customHeight="false" outlineLevel="0" collapsed="false">
      <c r="A6" s="8" t="s">
        <v>772</v>
      </c>
      <c r="B6" s="9" t="n">
        <f aca="false">COUNTIF(Campaigns!$E$6:$E$45,$A6)</f>
        <v>8</v>
      </c>
      <c r="C6" s="9" t="n">
        <f aca="false">COUNTIFS(Campaigns!$E$6:$E$45,$A6,Campaigns!$H$6:$H$45,"ENABLED")</f>
        <v>1</v>
      </c>
      <c r="D6" s="9" t="n">
        <f aca="false">COUNTIFS(Campaigns!$E$6:$E$45,$A6,Campaigns!$AU$6:$AU$45,"ENABLED")</f>
        <v>2</v>
      </c>
      <c r="E6" s="7" t="n">
        <f aca="false">SUMIFS(Campaigns!$O$6:$O$45,Campaigns!$E$6:$E$45,$A6)</f>
        <v>600.48</v>
      </c>
      <c r="F6" s="9" t="n">
        <f aca="false">SUMIFS(Campaigns!$N$6:$N$45,Campaigns!$E$6:$E$45,$A6)</f>
        <v>765</v>
      </c>
      <c r="G6" s="9" t="n">
        <f aca="false">SUMIFS(Campaigns!$P$6:$P$45,Campaigns!$E$6:$E$45,$A6)</f>
        <v>12</v>
      </c>
      <c r="H6" s="10" t="n">
        <f aca="false">IF(F6=0,0,G6/F6)</f>
        <v>0.0156862745098039</v>
      </c>
      <c r="I6" s="10" t="n">
        <f aca="false">IF(SUMIFS(Campaigns!$Q$6:$Q$45,Campaigns!$E$6:$E$45,$A6)=0,"",E6/SUMIFS(Campaigns!$Q$6:$Q$45,Campaigns!$E$6:$E$45,$A6))</f>
        <v>1.56836524146577</v>
      </c>
      <c r="J6" s="7" t="n">
        <f aca="false">SUMIFS(Campaigns!$X$6:$X$45,Campaigns!$E$6:$E$45,$A6)</f>
        <v>98.24</v>
      </c>
      <c r="K6" s="9" t="n">
        <f aca="false">SUMIFS(Campaigns!$Y$6:$Y$45,Campaigns!$E$6:$E$45,$A6)</f>
        <v>3</v>
      </c>
      <c r="L6" s="10" t="n">
        <f aca="false">IF($J$13=0,0,J6/$J$13)</f>
        <v>0.201522082504257</v>
      </c>
    </row>
    <row r="7" customFormat="false" ht="15" hidden="false" customHeight="false" outlineLevel="0" collapsed="false">
      <c r="A7" s="8" t="s">
        <v>768</v>
      </c>
      <c r="B7" s="9" t="n">
        <f aca="false">COUNTIF(Campaigns!$E$6:$E$45,$A7)</f>
        <v>5</v>
      </c>
      <c r="C7" s="9" t="n">
        <f aca="false">COUNTIFS(Campaigns!$E$6:$E$45,$A7,Campaigns!$H$6:$H$45,"ENABLED")</f>
        <v>3</v>
      </c>
      <c r="D7" s="9" t="n">
        <f aca="false">COUNTIFS(Campaigns!$E$6:$E$45,$A7,Campaigns!$AU$6:$AU$45,"ENABLED")</f>
        <v>0</v>
      </c>
      <c r="E7" s="7" t="n">
        <f aca="false">SUMIFS(Campaigns!$O$6:$O$45,Campaigns!$E$6:$E$45,$A7)</f>
        <v>248</v>
      </c>
      <c r="F7" s="9" t="n">
        <f aca="false">SUMIFS(Campaigns!$N$6:$N$45,Campaigns!$E$6:$E$45,$A7)</f>
        <v>559</v>
      </c>
      <c r="G7" s="9" t="n">
        <f aca="false">SUMIFS(Campaigns!$P$6:$P$45,Campaigns!$E$6:$E$45,$A7)</f>
        <v>6</v>
      </c>
      <c r="H7" s="10" t="n">
        <f aca="false">IF(F7=0,0,G7/F7)</f>
        <v>0.0107334525939177</v>
      </c>
      <c r="I7" s="10" t="n">
        <f aca="false">IF(SUMIFS(Campaigns!$Q$6:$Q$45,Campaigns!$E$6:$E$45,$A7)=0,"",E7/SUMIFS(Campaigns!$Q$6:$Q$45,Campaigns!$E$6:$E$45,$A7))</f>
        <v>1.33376357964935</v>
      </c>
      <c r="J7" s="7" t="n">
        <f aca="false">SUMIFS(Campaigns!$X$6:$X$45,Campaigns!$E$6:$E$45,$A7)</f>
        <v>70.1</v>
      </c>
      <c r="K7" s="9" t="n">
        <f aca="false">SUMIFS(Campaigns!$Y$6:$Y$45,Campaigns!$E$6:$E$45,$A7)</f>
        <v>0</v>
      </c>
      <c r="L7" s="10" t="n">
        <f aca="false">IF($J$13=0,0,J7/$J$13)</f>
        <v>0.143797821493774</v>
      </c>
    </row>
    <row r="8" customFormat="false" ht="15" hidden="false" customHeight="false" outlineLevel="0" collapsed="false">
      <c r="A8" s="8" t="s">
        <v>762</v>
      </c>
      <c r="B8" s="9" t="n">
        <f aca="false">COUNTIF(Campaigns!$E$6:$E$45,$A8)</f>
        <v>7</v>
      </c>
      <c r="C8" s="9" t="n">
        <f aca="false">COUNTIFS(Campaigns!$E$6:$E$45,$A8,Campaigns!$H$6:$H$45,"ENABLED")</f>
        <v>5</v>
      </c>
      <c r="D8" s="9" t="n">
        <f aca="false">COUNTIFS(Campaigns!$E$6:$E$45,$A8,Campaigns!$AU$6:$AU$45,"ENABLED")</f>
        <v>0</v>
      </c>
      <c r="E8" s="7" t="n">
        <f aca="false">SUMIFS(Campaigns!$O$6:$O$45,Campaigns!$E$6:$E$45,$A8)</f>
        <v>402.68</v>
      </c>
      <c r="F8" s="9" t="n">
        <f aca="false">SUMIFS(Campaigns!$N$6:$N$45,Campaigns!$E$6:$E$45,$A8)</f>
        <v>1277</v>
      </c>
      <c r="G8" s="9" t="n">
        <f aca="false">SUMIFS(Campaigns!$P$6:$P$45,Campaigns!$E$6:$E$45,$A8)</f>
        <v>12</v>
      </c>
      <c r="H8" s="10" t="n">
        <f aca="false">IF(F8=0,0,G8/F8)</f>
        <v>0.00939702427564605</v>
      </c>
      <c r="I8" s="10" t="n">
        <f aca="false">IF(SUMIFS(Campaigns!$Q$6:$Q$45,Campaigns!$E$6:$E$45,$A8)=0,"",E8/SUMIFS(Campaigns!$Q$6:$Q$45,Campaigns!$E$6:$E$45,$A8))</f>
        <v>1.08282241583306</v>
      </c>
      <c r="J8" s="7" t="n">
        <f aca="false">SUMIFS(Campaigns!$X$6:$X$45,Campaigns!$E$6:$E$45,$A8)</f>
        <v>111.3</v>
      </c>
      <c r="K8" s="9" t="n">
        <f aca="false">SUMIFS(Campaigns!$Y$6:$Y$45,Campaigns!$E$6:$E$45,$A8)</f>
        <v>0</v>
      </c>
      <c r="L8" s="10" t="n">
        <f aca="false">IF($J$13=0,0,J8/$J$13)</f>
        <v>0.228312375638475</v>
      </c>
    </row>
    <row r="9" customFormat="false" ht="15" hidden="false" customHeight="false" outlineLevel="0" collapsed="false">
      <c r="A9" s="8" t="s">
        <v>796</v>
      </c>
      <c r="B9" s="9" t="n">
        <f aca="false">COUNTIF(Campaigns!$E$6:$E$45,$A9)</f>
        <v>3</v>
      </c>
      <c r="C9" s="9" t="n">
        <f aca="false">COUNTIFS(Campaigns!$E$6:$E$45,$A9,Campaigns!$H$6:$H$45,"ENABLED")</f>
        <v>2</v>
      </c>
      <c r="D9" s="9" t="n">
        <f aca="false">COUNTIFS(Campaigns!$E$6:$E$45,$A9,Campaigns!$AU$6:$AU$45,"ENABLED")</f>
        <v>0</v>
      </c>
      <c r="E9" s="7" t="n">
        <f aca="false">SUMIFS(Campaigns!$O$6:$O$45,Campaigns!$E$6:$E$45,$A9)</f>
        <v>54.13</v>
      </c>
      <c r="F9" s="9" t="n">
        <f aca="false">SUMIFS(Campaigns!$N$6:$N$45,Campaigns!$E$6:$E$45,$A9)</f>
        <v>63</v>
      </c>
      <c r="G9" s="9" t="n">
        <f aca="false">SUMIFS(Campaigns!$P$6:$P$45,Campaigns!$E$6:$E$45,$A9)</f>
        <v>0</v>
      </c>
      <c r="H9" s="10" t="n">
        <f aca="false">IF(F9=0,0,G9/F9)</f>
        <v>0</v>
      </c>
      <c r="I9" s="10" t="str">
        <f aca="false">IF(SUMIFS(Campaigns!$Q$6:$Q$45,Campaigns!$E$6:$E$45,$A9)=0,"",E9/SUMIFS(Campaigns!$Q$6:$Q$45,Campaigns!$E$6:$E$45,$A9))</f>
        <v/>
      </c>
      <c r="J9" s="7" t="n">
        <f aca="false">SUMIFS(Campaigns!$X$6:$X$45,Campaigns!$E$6:$E$45,$A9)</f>
        <v>10.12</v>
      </c>
      <c r="K9" s="9" t="n">
        <f aca="false">SUMIFS(Campaigns!$Y$6:$Y$45,Campaigns!$E$6:$E$45,$A9)</f>
        <v>0</v>
      </c>
      <c r="L9" s="10" t="n">
        <f aca="false">IF($J$13=0,0,J9/$J$13)</f>
        <v>0.0207594001928245</v>
      </c>
    </row>
    <row r="10" customFormat="false" ht="15" hidden="false" customHeight="false" outlineLevel="0" collapsed="false">
      <c r="A10" s="8" t="s">
        <v>784</v>
      </c>
      <c r="B10" s="9" t="n">
        <f aca="false">COUNTIF(Campaigns!$E$6:$E$45,$A10)</f>
        <v>3</v>
      </c>
      <c r="C10" s="9" t="n">
        <f aca="false">COUNTIFS(Campaigns!$E$6:$E$45,$A10,Campaigns!$H$6:$H$45,"ENABLED")</f>
        <v>1</v>
      </c>
      <c r="D10" s="9" t="n">
        <f aca="false">COUNTIFS(Campaigns!$E$6:$E$45,$A10,Campaigns!$AU$6:$AU$45,"ENABLED")</f>
        <v>0</v>
      </c>
      <c r="E10" s="7" t="n">
        <f aca="false">SUMIFS(Campaigns!$O$6:$O$45,Campaigns!$E$6:$E$45,$A10)</f>
        <v>100.45</v>
      </c>
      <c r="F10" s="9" t="n">
        <f aca="false">SUMIFS(Campaigns!$N$6:$N$45,Campaigns!$E$6:$E$45,$A10)</f>
        <v>113</v>
      </c>
      <c r="G10" s="9" t="n">
        <f aca="false">SUMIFS(Campaigns!$P$6:$P$45,Campaigns!$E$6:$E$45,$A10)</f>
        <v>2</v>
      </c>
      <c r="H10" s="10" t="n">
        <f aca="false">IF(F10=0,0,G10/F10)</f>
        <v>0.0176991150442478</v>
      </c>
      <c r="I10" s="10" t="n">
        <f aca="false">IF(SUMIFS(Campaigns!$Q$6:$Q$45,Campaigns!$E$6:$E$45,$A10)=0,"",E10/SUMIFS(Campaigns!$Q$6:$Q$45,Campaigns!$E$6:$E$45,$A10))</f>
        <v>1.62068409164247</v>
      </c>
      <c r="J10" s="7" t="n">
        <f aca="false">SUMIFS(Campaigns!$X$6:$X$45,Campaigns!$E$6:$E$45,$A10)</f>
        <v>0</v>
      </c>
      <c r="K10" s="9" t="n">
        <f aca="false">SUMIFS(Campaigns!$Y$6:$Y$45,Campaigns!$E$6:$E$45,$A10)</f>
        <v>0</v>
      </c>
      <c r="L10" s="10" t="n">
        <f aca="false">IF($J$13=0,0,J10/$J$13)</f>
        <v>0</v>
      </c>
    </row>
    <row r="11" customFormat="false" ht="15" hidden="false" customHeight="false" outlineLevel="0" collapsed="false">
      <c r="A11" s="8" t="s">
        <v>803</v>
      </c>
      <c r="B11" s="9" t="n">
        <f aca="false">COUNTIF(Campaigns!$E$6:$E$45,$A11)</f>
        <v>3</v>
      </c>
      <c r="C11" s="9" t="n">
        <f aca="false">COUNTIFS(Campaigns!$E$6:$E$45,$A11,Campaigns!$H$6:$H$45,"ENABLED")</f>
        <v>2</v>
      </c>
      <c r="D11" s="9" t="n">
        <f aca="false">COUNTIFS(Campaigns!$E$6:$E$45,$A11,Campaigns!$AU$6:$AU$45,"ENABLED")</f>
        <v>0</v>
      </c>
      <c r="E11" s="7" t="n">
        <f aca="false">SUMIFS(Campaigns!$O$6:$O$45,Campaigns!$E$6:$E$45,$A11)</f>
        <v>37.03</v>
      </c>
      <c r="F11" s="9" t="n">
        <f aca="false">SUMIFS(Campaigns!$N$6:$N$45,Campaigns!$E$6:$E$45,$A11)</f>
        <v>88</v>
      </c>
      <c r="G11" s="9" t="n">
        <f aca="false">SUMIFS(Campaigns!$P$6:$P$45,Campaigns!$E$6:$E$45,$A11)</f>
        <v>1</v>
      </c>
      <c r="H11" s="10" t="n">
        <f aca="false">IF(F11=0,0,G11/F11)</f>
        <v>0.0113636363636364</v>
      </c>
      <c r="I11" s="10" t="n">
        <f aca="false">IF(SUMIFS(Campaigns!$Q$6:$Q$45,Campaigns!$E$6:$E$45,$A11)=0,"",E11/SUMIFS(Campaigns!$Q$6:$Q$45,Campaigns!$E$6:$E$45,$A11))</f>
        <v>1.05830237210632</v>
      </c>
      <c r="J11" s="7" t="n">
        <f aca="false">SUMIFS(Campaigns!$X$6:$X$45,Campaigns!$E$6:$E$45,$A11)</f>
        <v>8.03</v>
      </c>
      <c r="K11" s="9" t="n">
        <f aca="false">SUMIFS(Campaigns!$Y$6:$Y$45,Campaigns!$E$6:$E$45,$A11)</f>
        <v>0</v>
      </c>
      <c r="L11" s="10" t="n">
        <f aca="false">IF($J$13=0,0,J11/$J$13)</f>
        <v>0.0164721327616977</v>
      </c>
    </row>
    <row r="12" customFormat="false" ht="15" hidden="false" customHeight="false" outlineLevel="0" collapsed="false">
      <c r="A12" s="8" t="s">
        <v>776</v>
      </c>
      <c r="B12" s="9" t="n">
        <f aca="false">COUNTIF(Campaigns!$E$6:$E$45,$A12)</f>
        <v>10</v>
      </c>
      <c r="C12" s="9" t="n">
        <f aca="false">COUNTIFS(Campaigns!$E$6:$E$45,$A12,Campaigns!$H$6:$H$45,"ENABLED")</f>
        <v>7</v>
      </c>
      <c r="D12" s="9" t="n">
        <f aca="false">COUNTIFS(Campaigns!$E$6:$E$45,$A12,Campaigns!$AU$6:$AU$45,"ENABLED")</f>
        <v>0</v>
      </c>
      <c r="E12" s="7" t="n">
        <f aca="false">SUMIFS(Campaigns!$O$6:$O$45,Campaigns!$E$6:$E$45,$A12)</f>
        <v>203.87</v>
      </c>
      <c r="F12" s="9" t="n">
        <f aca="false">SUMIFS(Campaigns!$N$6:$N$45,Campaigns!$E$6:$E$45,$A12)</f>
        <v>224</v>
      </c>
      <c r="G12" s="9" t="n">
        <f aca="false">SUMIFS(Campaigns!$P$6:$P$45,Campaigns!$E$6:$E$45,$A12)</f>
        <v>1</v>
      </c>
      <c r="H12" s="10" t="n">
        <f aca="false">IF(F12=0,0,G12/F12)</f>
        <v>0.00446428571428571</v>
      </c>
      <c r="I12" s="10" t="n">
        <f aca="false">IF(SUMIFS(Campaigns!$Q$6:$Q$45,Campaigns!$E$6:$E$45,$A12)=0,"",E12/SUMIFS(Campaigns!$Q$6:$Q$45,Campaigns!$E$6:$E$45,$A12))</f>
        <v>5.82652186338954</v>
      </c>
      <c r="J12" s="7" t="n">
        <f aca="false">SUMIFS(Campaigns!$X$6:$X$45,Campaigns!$E$6:$E$45,$A12)</f>
        <v>189.7</v>
      </c>
      <c r="K12" s="9" t="n">
        <f aca="false">SUMIFS(Campaigns!$Y$6:$Y$45,Campaigns!$E$6:$E$45,$A12)</f>
        <v>1</v>
      </c>
      <c r="L12" s="10" t="n">
        <f aca="false">IF($J$13=0,0,J12/$J$13)</f>
        <v>0.389136187408972</v>
      </c>
    </row>
    <row r="13" customFormat="false" ht="15" hidden="false" customHeight="false" outlineLevel="0" collapsed="false">
      <c r="A13" s="13" t="s">
        <v>97</v>
      </c>
      <c r="B13" s="14" t="n">
        <f aca="false">SUM(B5:B12)</f>
        <v>40</v>
      </c>
      <c r="C13" s="14" t="n">
        <f aca="false">SUM(C5:C12)</f>
        <v>22</v>
      </c>
      <c r="D13" s="14" t="n">
        <f aca="false">SUM(D5:D12)</f>
        <v>3</v>
      </c>
      <c r="E13" s="15" t="n">
        <f aca="false">SUM(E5:E12)</f>
        <v>1648.02</v>
      </c>
      <c r="F13" s="14" t="n">
        <f aca="false">SUM(F5:F12)</f>
        <v>3093</v>
      </c>
      <c r="G13" s="14" t="n">
        <f aca="false">SUM(G5:G12)</f>
        <v>34</v>
      </c>
      <c r="H13" s="36" t="n">
        <f aca="false">IF(F13=0,0,G13/F13)</f>
        <v>0.0109925638538636</v>
      </c>
      <c r="I13" s="36" t="n">
        <f aca="false">IF(SUM(Campaigns!$Q$6:$Q$45)=0,"",E13/SUM(Campaigns!$Q$6:$Q$45))</f>
        <v>1.53640050342609</v>
      </c>
      <c r="J13" s="15" t="n">
        <f aca="false">SUM(J5:J12)</f>
        <v>487.49</v>
      </c>
      <c r="K13" s="14" t="n">
        <f aca="false">SUM(K5:K12)</f>
        <v>4</v>
      </c>
      <c r="L13" s="36" t="n">
        <f aca="false">SUM(L5:L12)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1" t="s">
        <v>834</v>
      </c>
    </row>
    <row r="2" customFormat="false" ht="30" hidden="false" customHeight="true" outlineLevel="0" collapsed="false">
      <c r="A2" s="405" t="s">
        <v>835</v>
      </c>
      <c r="B2" s="405"/>
      <c r="C2" s="405"/>
      <c r="D2" s="405"/>
      <c r="E2" s="405"/>
      <c r="F2" s="405"/>
      <c r="G2" s="405"/>
      <c r="H2" s="405"/>
    </row>
    <row r="4" customFormat="false" ht="30" hidden="false" customHeight="true" outlineLevel="0" collapsed="false">
      <c r="A4" s="5" t="s">
        <v>836</v>
      </c>
      <c r="B4" s="5" t="s">
        <v>11</v>
      </c>
      <c r="C4" s="5" t="s">
        <v>395</v>
      </c>
      <c r="D4" s="5" t="s">
        <v>12</v>
      </c>
      <c r="E4" s="5" t="s">
        <v>398</v>
      </c>
      <c r="F4" s="5" t="s">
        <v>397</v>
      </c>
      <c r="G4" s="5" t="s">
        <v>837</v>
      </c>
      <c r="H4" s="5" t="s">
        <v>354</v>
      </c>
    </row>
    <row r="5" customFormat="false" ht="25.35" hidden="false" customHeight="false" outlineLevel="0" collapsed="false">
      <c r="A5" s="8" t="s">
        <v>838</v>
      </c>
      <c r="B5" s="9" t="n">
        <f aca="false">SUM(Campaigns!$AH$6:$AH$45)</f>
        <v>429</v>
      </c>
      <c r="C5" s="7" t="n">
        <f aca="false">SUM(Campaigns!$AI$6:$AI$45)</f>
        <v>660.55</v>
      </c>
      <c r="D5" s="19" t="n">
        <v>11</v>
      </c>
      <c r="E5" s="10" t="n">
        <f aca="false">IF(B5=0,0,D5/B5)</f>
        <v>0.0256410256410256</v>
      </c>
      <c r="F5" s="7" t="n">
        <f aca="false">IF(B5=0,0,C5/B5)</f>
        <v>1.53974358974359</v>
      </c>
      <c r="G5" s="10" t="n">
        <f aca="false">IF($C$9=0,0,C5/$C$9)</f>
        <v>0.400811878424543</v>
      </c>
      <c r="H5" s="17" t="s">
        <v>839</v>
      </c>
    </row>
    <row r="6" customFormat="false" ht="15" hidden="false" customHeight="false" outlineLevel="0" collapsed="false">
      <c r="A6" s="8" t="s">
        <v>840</v>
      </c>
      <c r="B6" s="9" t="n">
        <f aca="false">SUM(Campaigns!$AJ$6:$AJ$45)</f>
        <v>922</v>
      </c>
      <c r="C6" s="7" t="n">
        <f aca="false">SUM(Campaigns!$AK$6:$AK$45)</f>
        <v>611.42</v>
      </c>
      <c r="D6" s="19" t="n">
        <v>6</v>
      </c>
      <c r="E6" s="10" t="n">
        <f aca="false">IF(B6=0,0,D6/B6)</f>
        <v>0.00650759219088937</v>
      </c>
      <c r="F6" s="7" t="n">
        <f aca="false">IF(B6=0,0,C6/B6)</f>
        <v>0.663145336225597</v>
      </c>
      <c r="G6" s="10" t="n">
        <f aca="false">IF($C$9=0,0,C6/$C$9)</f>
        <v>0.371000527903012</v>
      </c>
      <c r="H6" s="17" t="s">
        <v>841</v>
      </c>
    </row>
    <row r="7" customFormat="false" ht="15" hidden="false" customHeight="false" outlineLevel="0" collapsed="false">
      <c r="A7" s="8" t="s">
        <v>842</v>
      </c>
      <c r="B7" s="9" t="n">
        <f aca="false">SUM(Campaigns!$AL$6:$AL$45)</f>
        <v>53</v>
      </c>
      <c r="C7" s="7" t="n">
        <f aca="false">SUM(Campaigns!$AM$6:$AM$45)</f>
        <v>39.72</v>
      </c>
      <c r="D7" s="19" t="n">
        <v>1</v>
      </c>
      <c r="E7" s="10" t="n">
        <f aca="false">IF(B7=0,0,D7/B7)</f>
        <v>0.0188679245283019</v>
      </c>
      <c r="F7" s="7" t="n">
        <f aca="false">IF(B7=0,0,C7/B7)</f>
        <v>0.749433962264151</v>
      </c>
      <c r="G7" s="10" t="n">
        <f aca="false">IF($C$9=0,0,C7/$C$9)</f>
        <v>0.02410150300662</v>
      </c>
      <c r="H7" s="17" t="s">
        <v>843</v>
      </c>
    </row>
    <row r="8" customFormat="false" ht="25.35" hidden="false" customHeight="false" outlineLevel="0" collapsed="false">
      <c r="A8" s="8" t="s">
        <v>720</v>
      </c>
      <c r="B8" s="9" t="n">
        <f aca="false">SUM(Campaigns!$AN$6:$AN$45)</f>
        <v>1686</v>
      </c>
      <c r="C8" s="7" t="n">
        <f aca="false">SUM(Campaigns!$AO$6:$AO$45)</f>
        <v>336.34</v>
      </c>
      <c r="D8" s="9" t="n">
        <f aca="false">SUM(Campaigns!$P$6:$P$45)-SUM(D5:D7)</f>
        <v>16</v>
      </c>
      <c r="E8" s="10" t="n">
        <f aca="false">IF(B8=0,0,D8/B8)</f>
        <v>0.00948991696322657</v>
      </c>
      <c r="F8" s="7" t="n">
        <f aca="false">IF(B8=0,0,C8/B8)</f>
        <v>0.199489916963227</v>
      </c>
      <c r="G8" s="10" t="n">
        <f aca="false">IF($C$9=0,0,C8/$C$9)</f>
        <v>0.204086090665825</v>
      </c>
      <c r="H8" s="17" t="s">
        <v>844</v>
      </c>
    </row>
    <row r="9" customFormat="false" ht="15" hidden="false" customHeight="false" outlineLevel="0" collapsed="false">
      <c r="A9" s="13" t="s">
        <v>97</v>
      </c>
      <c r="B9" s="14" t="n">
        <f aca="false">SUM(B5:B8)</f>
        <v>3090</v>
      </c>
      <c r="C9" s="15" t="n">
        <f aca="false">SUM(C5:C8)</f>
        <v>1648.03</v>
      </c>
      <c r="D9" s="14" t="n">
        <f aca="false">SUM(D5:D8)</f>
        <v>34</v>
      </c>
      <c r="E9" s="36" t="n">
        <f aca="false">IF(B9=0,0,D9/B9)</f>
        <v>0.0110032362459547</v>
      </c>
      <c r="F9" s="15" t="n">
        <f aca="false">IF(B9=0,0,C9/B9)</f>
        <v>0.533343042071197</v>
      </c>
      <c r="G9" s="36" t="n">
        <f aca="false">SUM(G5:G8)</f>
        <v>1</v>
      </c>
      <c r="H9" s="406"/>
    </row>
    <row r="11" customFormat="false" ht="15" hidden="false" customHeight="false" outlineLevel="0" collapsed="false">
      <c r="A11" s="3" t="s">
        <v>845</v>
      </c>
    </row>
    <row r="12" customFormat="false" ht="31.5" hidden="false" customHeight="true" outlineLevel="0" collapsed="false">
      <c r="A12" s="4" t="s">
        <v>846</v>
      </c>
      <c r="B12" s="4"/>
      <c r="C12" s="4"/>
      <c r="D12" s="4"/>
      <c r="E12" s="4"/>
      <c r="F12" s="4"/>
      <c r="G12" s="4"/>
      <c r="H12" s="4"/>
    </row>
    <row r="13" customFormat="false" ht="31.5" hidden="false" customHeight="true" outlineLevel="0" collapsed="false">
      <c r="A13" s="4" t="s">
        <v>847</v>
      </c>
      <c r="B13" s="4"/>
      <c r="C13" s="4"/>
      <c r="D13" s="4"/>
      <c r="E13" s="4"/>
      <c r="F13" s="4"/>
      <c r="G13" s="4"/>
      <c r="H13" s="4"/>
    </row>
    <row r="14" customFormat="false" ht="31.5" hidden="false" customHeight="true" outlineLevel="0" collapsed="false">
      <c r="A14" s="4" t="s">
        <v>848</v>
      </c>
      <c r="B14" s="4"/>
      <c r="C14" s="4"/>
      <c r="D14" s="4"/>
      <c r="E14" s="4"/>
      <c r="F14" s="4"/>
      <c r="G14" s="4"/>
      <c r="H14" s="4"/>
    </row>
    <row r="15" customFormat="false" ht="31.5" hidden="false" customHeight="true" outlineLevel="0" collapsed="false">
      <c r="A15" s="4" t="s">
        <v>849</v>
      </c>
      <c r="B15" s="4"/>
      <c r="C15" s="4"/>
      <c r="D15" s="4"/>
      <c r="E15" s="4"/>
      <c r="F15" s="4"/>
      <c r="G15" s="4"/>
      <c r="H15" s="4"/>
    </row>
    <row r="17" customFormat="false" ht="21.75" hidden="false" customHeight="true" outlineLevel="0" collapsed="false">
      <c r="A17" s="5" t="s">
        <v>850</v>
      </c>
      <c r="B17" s="5" t="s">
        <v>851</v>
      </c>
      <c r="C17" s="5" t="s">
        <v>852</v>
      </c>
      <c r="D17" s="5" t="s">
        <v>397</v>
      </c>
      <c r="E17" s="5" t="s">
        <v>853</v>
      </c>
      <c r="F17" s="5"/>
      <c r="G17" s="5"/>
      <c r="H17" s="5"/>
    </row>
    <row r="18" customFormat="false" ht="30" hidden="false" customHeight="true" outlineLevel="0" collapsed="false">
      <c r="A18" s="17" t="s">
        <v>163</v>
      </c>
      <c r="B18" s="17" t="s">
        <v>854</v>
      </c>
      <c r="C18" s="17" t="n">
        <v>317</v>
      </c>
      <c r="D18" s="17" t="s">
        <v>855</v>
      </c>
      <c r="E18" s="17" t="s">
        <v>856</v>
      </c>
      <c r="F18" s="17"/>
      <c r="G18" s="17"/>
      <c r="H18" s="17"/>
    </row>
    <row r="19" customFormat="false" ht="30" hidden="false" customHeight="true" outlineLevel="0" collapsed="false">
      <c r="A19" s="17" t="s">
        <v>137</v>
      </c>
      <c r="B19" s="17" t="s">
        <v>857</v>
      </c>
      <c r="C19" s="17" t="n">
        <v>118</v>
      </c>
      <c r="D19" s="17" t="s">
        <v>858</v>
      </c>
      <c r="E19" s="17" t="s">
        <v>859</v>
      </c>
      <c r="F19" s="17"/>
      <c r="G19" s="17"/>
      <c r="H19" s="17"/>
    </row>
    <row r="20" customFormat="false" ht="30" hidden="false" customHeight="true" outlineLevel="0" collapsed="false">
      <c r="A20" s="17" t="s">
        <v>229</v>
      </c>
      <c r="B20" s="17" t="s">
        <v>860</v>
      </c>
      <c r="C20" s="17" t="n">
        <v>72</v>
      </c>
      <c r="D20" s="17" t="s">
        <v>861</v>
      </c>
      <c r="E20" s="17" t="s">
        <v>862</v>
      </c>
      <c r="F20" s="17"/>
      <c r="G20" s="17"/>
      <c r="H20" s="17"/>
    </row>
    <row r="21" customFormat="false" ht="30" hidden="false" customHeight="true" outlineLevel="0" collapsed="false">
      <c r="A21" s="17" t="s">
        <v>202</v>
      </c>
      <c r="B21" s="17" t="s">
        <v>863</v>
      </c>
      <c r="C21" s="17" t="n">
        <v>44</v>
      </c>
      <c r="D21" s="17" t="s">
        <v>864</v>
      </c>
      <c r="E21" s="17" t="s">
        <v>865</v>
      </c>
      <c r="F21" s="17"/>
      <c r="G21" s="17"/>
      <c r="H21" s="17"/>
    </row>
    <row r="22" customFormat="false" ht="30" hidden="false" customHeight="true" outlineLevel="0" collapsed="false">
      <c r="A22" s="17" t="s">
        <v>866</v>
      </c>
      <c r="B22" s="17" t="s">
        <v>867</v>
      </c>
      <c r="C22" s="17" t="n">
        <v>40</v>
      </c>
      <c r="D22" s="17" t="s">
        <v>868</v>
      </c>
      <c r="E22" s="17" t="s">
        <v>869</v>
      </c>
      <c r="F22" s="17"/>
      <c r="G22" s="17"/>
      <c r="H22" s="17"/>
    </row>
    <row r="24" customFormat="false" ht="30" hidden="false" customHeight="true" outlineLevel="0" collapsed="false">
      <c r="A24" s="5" t="s">
        <v>699</v>
      </c>
      <c r="B24" s="5" t="s">
        <v>870</v>
      </c>
      <c r="C24" s="5" t="s">
        <v>871</v>
      </c>
      <c r="D24" s="5" t="s">
        <v>872</v>
      </c>
      <c r="E24" s="5" t="s">
        <v>873</v>
      </c>
      <c r="F24" s="5"/>
      <c r="G24" s="5"/>
      <c r="H24" s="5"/>
    </row>
    <row r="25" customFormat="false" ht="15" hidden="false" customHeight="false" outlineLevel="0" collapsed="false">
      <c r="A25" s="8" t="s">
        <v>874</v>
      </c>
      <c r="B25" s="31" t="n">
        <v>0</v>
      </c>
      <c r="C25" s="31" t="n">
        <v>45</v>
      </c>
      <c r="D25" s="31" t="n">
        <v>0</v>
      </c>
      <c r="E25" s="31" t="n">
        <v>2</v>
      </c>
    </row>
    <row r="26" customFormat="false" ht="15" hidden="false" customHeight="false" outlineLevel="0" collapsed="false">
      <c r="A26" s="8" t="s">
        <v>875</v>
      </c>
      <c r="B26" s="31" t="n">
        <v>0</v>
      </c>
      <c r="C26" s="31" t="n">
        <v>51</v>
      </c>
      <c r="D26" s="31" t="n">
        <v>0</v>
      </c>
      <c r="E26" s="31" t="n">
        <v>1</v>
      </c>
    </row>
    <row r="27" customFormat="false" ht="15" hidden="false" customHeight="false" outlineLevel="0" collapsed="false">
      <c r="A27" s="8" t="s">
        <v>876</v>
      </c>
      <c r="B27" s="31" t="n">
        <v>0</v>
      </c>
      <c r="C27" s="31" t="n">
        <v>82</v>
      </c>
      <c r="D27" s="31" t="n">
        <v>0</v>
      </c>
      <c r="E27" s="31" t="n">
        <v>1</v>
      </c>
    </row>
    <row r="28" customFormat="false" ht="15" hidden="false" customHeight="false" outlineLevel="0" collapsed="false">
      <c r="A28" s="8" t="s">
        <v>877</v>
      </c>
      <c r="B28" s="31" t="n">
        <v>1</v>
      </c>
      <c r="C28" s="31" t="n">
        <v>23</v>
      </c>
      <c r="D28" s="31" t="n">
        <v>0</v>
      </c>
      <c r="E28" s="31" t="n">
        <v>1</v>
      </c>
    </row>
    <row r="29" customFormat="false" ht="15" hidden="false" customHeight="false" outlineLevel="0" collapsed="false">
      <c r="A29" s="8" t="s">
        <v>878</v>
      </c>
      <c r="B29" s="31" t="n">
        <v>0</v>
      </c>
      <c r="C29" s="31" t="n">
        <v>28</v>
      </c>
      <c r="D29" s="31" t="n">
        <v>1</v>
      </c>
      <c r="E29" s="31" t="n">
        <v>3</v>
      </c>
    </row>
    <row r="30" customFormat="false" ht="15" hidden="false" customHeight="false" outlineLevel="0" collapsed="false">
      <c r="A30" s="8" t="s">
        <v>879</v>
      </c>
      <c r="B30" s="31" t="n">
        <v>6</v>
      </c>
      <c r="C30" s="31" t="n">
        <v>38</v>
      </c>
      <c r="D30" s="31" t="n">
        <v>0</v>
      </c>
      <c r="E30" s="31" t="n">
        <v>4</v>
      </c>
    </row>
    <row r="31" customFormat="false" ht="15" hidden="false" customHeight="false" outlineLevel="0" collapsed="false">
      <c r="A31" s="8" t="s">
        <v>880</v>
      </c>
      <c r="B31" s="31" t="n">
        <v>10</v>
      </c>
      <c r="C31" s="31" t="n">
        <v>46</v>
      </c>
      <c r="D31" s="31" t="n">
        <v>1</v>
      </c>
      <c r="E31" s="31" t="n">
        <v>2</v>
      </c>
    </row>
    <row r="32" customFormat="false" ht="15" hidden="false" customHeight="false" outlineLevel="0" collapsed="false">
      <c r="A32" s="8" t="s">
        <v>881</v>
      </c>
      <c r="B32" s="31" t="n">
        <v>73</v>
      </c>
      <c r="C32" s="31" t="n">
        <v>103</v>
      </c>
      <c r="D32" s="31" t="n">
        <v>1</v>
      </c>
      <c r="E32" s="31" t="n">
        <v>4</v>
      </c>
    </row>
    <row r="33" customFormat="false" ht="15" hidden="false" customHeight="false" outlineLevel="0" collapsed="false">
      <c r="A33" s="8" t="s">
        <v>882</v>
      </c>
      <c r="B33" s="31" t="n">
        <v>328</v>
      </c>
      <c r="C33" s="31" t="n">
        <v>345</v>
      </c>
      <c r="D33" s="31" t="n">
        <v>5</v>
      </c>
      <c r="E33" s="31" t="n">
        <v>0</v>
      </c>
    </row>
    <row r="34" customFormat="false" ht="15" hidden="false" customHeight="false" outlineLevel="0" collapsed="false">
      <c r="A34" s="8" t="s">
        <v>883</v>
      </c>
      <c r="B34" s="31" t="n">
        <v>326</v>
      </c>
      <c r="C34" s="31" t="n">
        <v>348</v>
      </c>
      <c r="D34" s="31" t="n">
        <v>0</v>
      </c>
      <c r="E34" s="31" t="n">
        <v>2</v>
      </c>
    </row>
    <row r="35" customFormat="false" ht="15" hidden="false" customHeight="false" outlineLevel="0" collapsed="false">
      <c r="A35" s="8" t="s">
        <v>884</v>
      </c>
      <c r="B35" s="31" t="n">
        <v>356</v>
      </c>
      <c r="C35" s="31" t="n">
        <v>368</v>
      </c>
      <c r="D35" s="31" t="n">
        <v>1</v>
      </c>
      <c r="E35" s="31" t="n">
        <v>4</v>
      </c>
    </row>
    <row r="36" customFormat="false" ht="15" hidden="false" customHeight="false" outlineLevel="0" collapsed="false">
      <c r="A36" s="8" t="s">
        <v>885</v>
      </c>
      <c r="B36" s="31" t="n">
        <v>103</v>
      </c>
      <c r="C36" s="31" t="n">
        <v>116</v>
      </c>
      <c r="D36" s="31" t="n">
        <v>2</v>
      </c>
      <c r="E36" s="31" t="n">
        <v>5</v>
      </c>
    </row>
    <row r="37" customFormat="false" ht="15" hidden="false" customHeight="false" outlineLevel="0" collapsed="false">
      <c r="A37" s="8" t="s">
        <v>886</v>
      </c>
      <c r="B37" s="31" t="n">
        <v>192</v>
      </c>
      <c r="C37" s="31" t="n">
        <v>222</v>
      </c>
      <c r="D37" s="31" t="n">
        <v>0</v>
      </c>
      <c r="E37" s="31" t="n">
        <v>4</v>
      </c>
    </row>
    <row r="38" customFormat="false" ht="15" hidden="false" customHeight="false" outlineLevel="0" collapsed="false">
      <c r="A38" s="8" t="s">
        <v>887</v>
      </c>
      <c r="B38" s="31" t="n">
        <v>94</v>
      </c>
      <c r="C38" s="31" t="n">
        <v>126</v>
      </c>
      <c r="D38" s="31" t="n">
        <v>1</v>
      </c>
      <c r="E38" s="31" t="n">
        <v>1</v>
      </c>
    </row>
    <row r="39" customFormat="false" ht="15" hidden="false" customHeight="false" outlineLevel="0" collapsed="false">
      <c r="A39" s="8" t="s">
        <v>888</v>
      </c>
      <c r="B39" s="31" t="n">
        <v>41</v>
      </c>
      <c r="C39" s="31" t="n">
        <v>69</v>
      </c>
      <c r="D39" s="31" t="n">
        <v>1</v>
      </c>
      <c r="E39" s="31" t="n">
        <v>2</v>
      </c>
    </row>
    <row r="40" customFormat="false" ht="15" hidden="false" customHeight="false" outlineLevel="0" collapsed="false">
      <c r="A40" s="8" t="s">
        <v>889</v>
      </c>
      <c r="B40" s="31" t="n">
        <v>62</v>
      </c>
      <c r="C40" s="31" t="n">
        <v>85</v>
      </c>
      <c r="D40" s="31" t="n">
        <v>10</v>
      </c>
      <c r="E40" s="31" t="n">
        <v>1</v>
      </c>
    </row>
    <row r="41" customFormat="false" ht="15" hidden="false" customHeight="false" outlineLevel="0" collapsed="false">
      <c r="A41" s="8" t="s">
        <v>890</v>
      </c>
      <c r="B41" s="31" t="n">
        <v>60</v>
      </c>
      <c r="C41" s="31" t="n">
        <v>82</v>
      </c>
      <c r="D41" s="31" t="n">
        <v>8</v>
      </c>
      <c r="E41" s="31" t="n">
        <v>1</v>
      </c>
    </row>
    <row r="42" customFormat="false" ht="15" hidden="false" customHeight="false" outlineLevel="0" collapsed="false">
      <c r="A42" s="8" t="s">
        <v>891</v>
      </c>
      <c r="B42" s="31" t="n">
        <v>34</v>
      </c>
      <c r="C42" s="31" t="n">
        <v>63</v>
      </c>
      <c r="D42" s="31" t="n">
        <v>9</v>
      </c>
      <c r="E42" s="31" t="n">
        <v>0</v>
      </c>
    </row>
    <row r="43" customFormat="false" ht="15" hidden="false" customHeight="false" outlineLevel="0" collapsed="false">
      <c r="A43" s="8" t="s">
        <v>892</v>
      </c>
      <c r="B43" s="31" t="n">
        <v>0</v>
      </c>
      <c r="C43" s="31" t="n">
        <v>56</v>
      </c>
      <c r="D43" s="31" t="n">
        <v>11</v>
      </c>
      <c r="E43" s="31" t="n">
        <v>0</v>
      </c>
    </row>
    <row r="44" customFormat="false" ht="15" hidden="false" customHeight="false" outlineLevel="0" collapsed="false">
      <c r="A44" s="8" t="s">
        <v>893</v>
      </c>
      <c r="B44" s="31" t="n">
        <v>0</v>
      </c>
      <c r="C44" s="31" t="n">
        <v>82</v>
      </c>
      <c r="D44" s="31" t="n">
        <v>15</v>
      </c>
      <c r="E44" s="31" t="n">
        <v>1</v>
      </c>
    </row>
    <row r="45" customFormat="false" ht="15" hidden="false" customHeight="false" outlineLevel="0" collapsed="false">
      <c r="A45" s="8" t="s">
        <v>894</v>
      </c>
      <c r="B45" s="31" t="n">
        <v>0</v>
      </c>
      <c r="C45" s="31" t="n">
        <v>35</v>
      </c>
      <c r="D45" s="31" t="n">
        <v>38</v>
      </c>
      <c r="E45" s="31" t="n">
        <v>0</v>
      </c>
    </row>
    <row r="46" customFormat="false" ht="15" hidden="false" customHeight="false" outlineLevel="0" collapsed="false">
      <c r="A46" s="8" t="s">
        <v>895</v>
      </c>
      <c r="B46" s="31" t="n">
        <v>0</v>
      </c>
      <c r="C46" s="31" t="n">
        <v>41</v>
      </c>
      <c r="D46" s="31" t="n">
        <v>29</v>
      </c>
      <c r="E46" s="31" t="n">
        <v>0</v>
      </c>
    </row>
    <row r="47" customFormat="false" ht="15" hidden="false" customHeight="false" outlineLevel="0" collapsed="false">
      <c r="A47" s="8" t="s">
        <v>896</v>
      </c>
      <c r="B47" s="31" t="n">
        <v>0</v>
      </c>
      <c r="C47" s="31" t="n">
        <v>14</v>
      </c>
      <c r="D47" s="31" t="n">
        <v>36</v>
      </c>
      <c r="E47" s="31" t="n">
        <v>0</v>
      </c>
    </row>
    <row r="48" customFormat="false" ht="15" hidden="false" customHeight="false" outlineLevel="0" collapsed="false">
      <c r="A48" s="8" t="s">
        <v>897</v>
      </c>
      <c r="B48" s="31" t="n">
        <v>0</v>
      </c>
      <c r="C48" s="31" t="n">
        <v>17</v>
      </c>
      <c r="D48" s="31" t="n">
        <v>25</v>
      </c>
      <c r="E48" s="31" t="n">
        <v>0</v>
      </c>
    </row>
    <row r="49" customFormat="false" ht="15" hidden="false" customHeight="false" outlineLevel="0" collapsed="false">
      <c r="A49" s="8" t="s">
        <v>898</v>
      </c>
      <c r="B49" s="31" t="n">
        <v>0</v>
      </c>
      <c r="C49" s="31" t="n">
        <v>18</v>
      </c>
      <c r="D49" s="31" t="n">
        <v>34</v>
      </c>
      <c r="E49" s="31" t="n">
        <v>0</v>
      </c>
    </row>
    <row r="50" customFormat="false" ht="15" hidden="false" customHeight="false" outlineLevel="0" collapsed="false">
      <c r="A50" s="8" t="s">
        <v>899</v>
      </c>
      <c r="B50" s="31" t="n">
        <v>0</v>
      </c>
      <c r="C50" s="31" t="n">
        <v>12</v>
      </c>
      <c r="D50" s="31" t="n">
        <v>36</v>
      </c>
      <c r="E50" s="31" t="n">
        <v>0</v>
      </c>
    </row>
    <row r="51" customFormat="false" ht="15" hidden="false" customHeight="false" outlineLevel="0" collapsed="false">
      <c r="A51" s="8" t="s">
        <v>900</v>
      </c>
      <c r="B51" s="31" t="n">
        <v>0</v>
      </c>
      <c r="C51" s="31" t="n">
        <v>15</v>
      </c>
      <c r="D51" s="31" t="n">
        <v>62</v>
      </c>
      <c r="E51" s="31" t="n">
        <v>0</v>
      </c>
    </row>
    <row r="52" customFormat="false" ht="15" hidden="false" customHeight="false" outlineLevel="0" collapsed="false">
      <c r="A52" s="8" t="s">
        <v>901</v>
      </c>
      <c r="B52" s="31" t="n">
        <v>0</v>
      </c>
      <c r="C52" s="31" t="n">
        <v>8</v>
      </c>
      <c r="D52" s="31" t="n">
        <v>70</v>
      </c>
      <c r="E52" s="31" t="n">
        <v>0</v>
      </c>
    </row>
    <row r="53" customFormat="false" ht="15" hidden="false" customHeight="false" outlineLevel="0" collapsed="false">
      <c r="A53" s="8" t="s">
        <v>902</v>
      </c>
      <c r="B53" s="31" t="n">
        <v>0</v>
      </c>
      <c r="C53" s="31" t="n">
        <v>10</v>
      </c>
      <c r="D53" s="31" t="n">
        <v>2</v>
      </c>
      <c r="E53" s="31" t="n">
        <v>0</v>
      </c>
    </row>
    <row r="54" customFormat="false" ht="15" hidden="false" customHeight="false" outlineLevel="0" collapsed="false">
      <c r="A54" s="8" t="s">
        <v>903</v>
      </c>
      <c r="B54" s="31" t="n">
        <v>0</v>
      </c>
      <c r="C54" s="31" t="n">
        <v>8</v>
      </c>
      <c r="D54" s="31" t="n">
        <v>5</v>
      </c>
      <c r="E54" s="31" t="n">
        <v>0</v>
      </c>
    </row>
    <row r="55" customFormat="false" ht="15" hidden="false" customHeight="false" outlineLevel="0" collapsed="false">
      <c r="A55" s="8" t="s">
        <v>904</v>
      </c>
      <c r="B55" s="31" t="n">
        <v>0</v>
      </c>
      <c r="C55" s="31" t="n">
        <v>23</v>
      </c>
      <c r="D55" s="31" t="n">
        <v>43</v>
      </c>
      <c r="E55" s="31" t="n">
        <v>0</v>
      </c>
    </row>
    <row r="56" customFormat="false" ht="15" hidden="false" customHeight="false" outlineLevel="0" collapsed="false">
      <c r="A56" s="8" t="s">
        <v>905</v>
      </c>
      <c r="B56" s="31" t="n">
        <v>0</v>
      </c>
      <c r="C56" s="31" t="n">
        <v>22</v>
      </c>
      <c r="D56" s="31" t="n">
        <v>40</v>
      </c>
      <c r="E56" s="31" t="n">
        <v>0</v>
      </c>
    </row>
    <row r="57" customFormat="false" ht="15" hidden="false" customHeight="false" outlineLevel="0" collapsed="false">
      <c r="A57" s="8" t="s">
        <v>906</v>
      </c>
      <c r="B57" s="31" t="n">
        <v>0</v>
      </c>
      <c r="C57" s="31" t="n">
        <v>24</v>
      </c>
      <c r="D57" s="31" t="n">
        <v>30</v>
      </c>
      <c r="E57" s="31" t="n">
        <v>7</v>
      </c>
    </row>
    <row r="58" customFormat="false" ht="15" hidden="false" customHeight="false" outlineLevel="0" collapsed="false">
      <c r="A58" s="8" t="s">
        <v>907</v>
      </c>
      <c r="B58" s="31" t="n">
        <v>0</v>
      </c>
      <c r="C58" s="31" t="n">
        <v>30</v>
      </c>
      <c r="D58" s="31" t="n">
        <v>27</v>
      </c>
      <c r="E58" s="31" t="n">
        <v>4</v>
      </c>
    </row>
    <row r="59" customFormat="false" ht="15" hidden="false" customHeight="false" outlineLevel="0" collapsed="false">
      <c r="A59" s="8" t="s">
        <v>908</v>
      </c>
      <c r="B59" s="31" t="n">
        <v>0</v>
      </c>
      <c r="C59" s="31" t="n">
        <v>29</v>
      </c>
      <c r="D59" s="31" t="n">
        <v>19</v>
      </c>
      <c r="E59" s="31" t="n">
        <v>7</v>
      </c>
    </row>
    <row r="60" customFormat="false" ht="15" hidden="false" customHeight="false" outlineLevel="0" collapsed="false">
      <c r="A60" s="8" t="s">
        <v>909</v>
      </c>
      <c r="B60" s="31" t="n">
        <v>0</v>
      </c>
      <c r="C60" s="31" t="n">
        <v>15</v>
      </c>
      <c r="D60" s="31" t="n">
        <v>21</v>
      </c>
      <c r="E60" s="31" t="n">
        <v>7</v>
      </c>
    </row>
    <row r="61" customFormat="false" ht="15" hidden="false" customHeight="false" outlineLevel="0" collapsed="false">
      <c r="A61" s="8" t="s">
        <v>910</v>
      </c>
      <c r="B61" s="31" t="n">
        <v>0</v>
      </c>
      <c r="C61" s="31" t="n">
        <v>26</v>
      </c>
      <c r="D61" s="31" t="n">
        <v>24</v>
      </c>
      <c r="E61" s="31" t="n">
        <v>4</v>
      </c>
    </row>
    <row r="62" customFormat="false" ht="15" hidden="false" customHeight="false" outlineLevel="0" collapsed="false">
      <c r="A62" s="8" t="s">
        <v>911</v>
      </c>
      <c r="B62" s="31" t="n">
        <v>0</v>
      </c>
      <c r="C62" s="31" t="n">
        <v>12</v>
      </c>
      <c r="D62" s="31" t="n">
        <v>5</v>
      </c>
      <c r="E62" s="31" t="n">
        <v>1</v>
      </c>
    </row>
    <row r="63" customFormat="false" ht="15" hidden="false" customHeight="false" outlineLevel="0" collapsed="false">
      <c r="A63" s="8" t="s">
        <v>912</v>
      </c>
      <c r="B63" s="31" t="n">
        <v>0</v>
      </c>
      <c r="C63" s="31" t="n">
        <v>13</v>
      </c>
      <c r="D63" s="31" t="n">
        <v>4</v>
      </c>
      <c r="E63" s="31" t="n">
        <v>2</v>
      </c>
    </row>
    <row r="64" customFormat="false" ht="15" hidden="false" customHeight="false" outlineLevel="0" collapsed="false">
      <c r="A64" s="8" t="s">
        <v>913</v>
      </c>
      <c r="B64" s="31" t="n">
        <v>0</v>
      </c>
      <c r="C64" s="31" t="n">
        <v>19</v>
      </c>
      <c r="D64" s="31" t="n">
        <v>2</v>
      </c>
      <c r="E64" s="31" t="n">
        <v>0</v>
      </c>
    </row>
    <row r="65" customFormat="false" ht="15" hidden="false" customHeight="false" outlineLevel="0" collapsed="false">
      <c r="A65" s="8" t="s">
        <v>914</v>
      </c>
      <c r="B65" s="31" t="n">
        <v>0</v>
      </c>
      <c r="C65" s="31" t="n">
        <v>14</v>
      </c>
      <c r="D65" s="31" t="n">
        <v>5</v>
      </c>
      <c r="E65" s="31" t="n">
        <v>1</v>
      </c>
    </row>
    <row r="66" customFormat="false" ht="15" hidden="false" customHeight="false" outlineLevel="0" collapsed="false">
      <c r="A66" s="8" t="s">
        <v>915</v>
      </c>
      <c r="B66" s="31" t="n">
        <v>0</v>
      </c>
      <c r="C66" s="31" t="n">
        <v>5</v>
      </c>
      <c r="D66" s="31" t="n">
        <v>2</v>
      </c>
      <c r="E66" s="31" t="n">
        <v>3</v>
      </c>
    </row>
    <row r="67" customFormat="false" ht="15" hidden="false" customHeight="false" outlineLevel="0" collapsed="false">
      <c r="A67" s="8" t="s">
        <v>916</v>
      </c>
      <c r="B67" s="31" t="n">
        <v>0</v>
      </c>
      <c r="C67" s="31" t="n">
        <v>12</v>
      </c>
      <c r="D67" s="31" t="n">
        <v>2</v>
      </c>
      <c r="E67" s="31" t="n">
        <v>4</v>
      </c>
    </row>
    <row r="68" customFormat="false" ht="15" hidden="false" customHeight="false" outlineLevel="0" collapsed="false">
      <c r="A68" s="8" t="s">
        <v>917</v>
      </c>
      <c r="B68" s="31" t="n">
        <v>0</v>
      </c>
      <c r="C68" s="31" t="n">
        <v>11</v>
      </c>
      <c r="D68" s="31" t="n">
        <v>4</v>
      </c>
      <c r="E68" s="31" t="n">
        <v>5</v>
      </c>
    </row>
    <row r="69" customFormat="false" ht="15" hidden="false" customHeight="false" outlineLevel="0" collapsed="false">
      <c r="A69" s="8" t="s">
        <v>918</v>
      </c>
      <c r="B69" s="31" t="n">
        <v>0</v>
      </c>
      <c r="C69" s="31" t="n">
        <v>12</v>
      </c>
      <c r="D69" s="31" t="n">
        <v>6</v>
      </c>
      <c r="E69" s="31" t="n">
        <v>3</v>
      </c>
    </row>
    <row r="70" customFormat="false" ht="15" hidden="false" customHeight="false" outlineLevel="0" collapsed="false">
      <c r="A70" s="8" t="s">
        <v>919</v>
      </c>
      <c r="B70" s="31" t="n">
        <v>0</v>
      </c>
      <c r="C70" s="31" t="n">
        <v>16</v>
      </c>
      <c r="D70" s="31" t="n">
        <v>11</v>
      </c>
      <c r="E70" s="31" t="n">
        <v>1</v>
      </c>
    </row>
    <row r="71" customFormat="false" ht="15" hidden="false" customHeight="false" outlineLevel="0" collapsed="false">
      <c r="A71" s="8" t="s">
        <v>920</v>
      </c>
      <c r="B71" s="31" t="n">
        <v>0</v>
      </c>
      <c r="C71" s="31" t="n">
        <v>24</v>
      </c>
      <c r="D71" s="31" t="n">
        <v>17</v>
      </c>
      <c r="E71" s="31" t="n">
        <v>1</v>
      </c>
    </row>
    <row r="72" customFormat="false" ht="15" hidden="false" customHeight="false" outlineLevel="0" collapsed="false">
      <c r="A72" s="8" t="s">
        <v>921</v>
      </c>
      <c r="B72" s="31" t="n">
        <v>0</v>
      </c>
      <c r="C72" s="31" t="n">
        <v>17</v>
      </c>
      <c r="D72" s="31" t="n">
        <v>19</v>
      </c>
      <c r="E72" s="31" t="n">
        <v>8</v>
      </c>
    </row>
    <row r="73" customFormat="false" ht="15" hidden="false" customHeight="false" outlineLevel="0" collapsed="false">
      <c r="A73" s="8" t="s">
        <v>922</v>
      </c>
      <c r="B73" s="31" t="n">
        <v>0</v>
      </c>
      <c r="C73" s="31" t="n">
        <v>23</v>
      </c>
      <c r="D73" s="31" t="n">
        <v>7</v>
      </c>
      <c r="E73" s="31" t="n">
        <v>4</v>
      </c>
    </row>
    <row r="74" customFormat="false" ht="15" hidden="false" customHeight="false" outlineLevel="0" collapsed="false">
      <c r="A74" s="8" t="s">
        <v>923</v>
      </c>
      <c r="B74" s="31" t="n">
        <v>0</v>
      </c>
      <c r="C74" s="31" t="n">
        <v>19</v>
      </c>
      <c r="D74" s="31" t="n">
        <v>2</v>
      </c>
      <c r="E74" s="31" t="n">
        <v>13</v>
      </c>
    </row>
    <row r="75" customFormat="false" ht="15" hidden="false" customHeight="false" outlineLevel="0" collapsed="false">
      <c r="A75" s="8" t="s">
        <v>924</v>
      </c>
      <c r="B75" s="31" t="n">
        <v>0</v>
      </c>
      <c r="C75" s="31" t="n">
        <v>14</v>
      </c>
      <c r="D75" s="31" t="n">
        <v>2</v>
      </c>
      <c r="E75" s="31" t="n">
        <v>12</v>
      </c>
    </row>
  </sheetData>
  <mergeCells count="10">
    <mergeCell ref="A2:H2"/>
    <mergeCell ref="A12:H12"/>
    <mergeCell ref="A13:H13"/>
    <mergeCell ref="A14:H14"/>
    <mergeCell ref="A15:H15"/>
    <mergeCell ref="E18:H18"/>
    <mergeCell ref="E19:H19"/>
    <mergeCell ref="E20:H20"/>
    <mergeCell ref="E21:H21"/>
    <mergeCell ref="E22:H22"/>
  </mergeCells>
  <conditionalFormatting sqref="B25:B75">
    <cfRule type="expression" priority="2" aboveAverage="0" equalAverage="0" bottom="0" percent="0" rank="0" text="" dxfId="1">
      <formula>B25&gt;0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6" min="4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1" t="s">
        <v>925</v>
      </c>
    </row>
    <row r="2" customFormat="false" ht="15" hidden="false" customHeight="false" outlineLevel="0" collapsed="false">
      <c r="A2" s="12" t="s">
        <v>926</v>
      </c>
    </row>
    <row r="4" customFormat="false" ht="30" hidden="false" customHeight="true" outlineLevel="0" collapsed="false">
      <c r="A4" s="5" t="s">
        <v>927</v>
      </c>
      <c r="B4" s="5" t="s">
        <v>928</v>
      </c>
      <c r="C4" s="5" t="s">
        <v>100</v>
      </c>
      <c r="D4" s="5" t="s">
        <v>103</v>
      </c>
      <c r="E4" s="5" t="s">
        <v>105</v>
      </c>
      <c r="F4" s="5" t="s">
        <v>45</v>
      </c>
      <c r="G4" s="5" t="s">
        <v>44</v>
      </c>
      <c r="H4" s="5" t="s">
        <v>832</v>
      </c>
      <c r="I4" s="5" t="s">
        <v>315</v>
      </c>
      <c r="J4" s="5" t="s">
        <v>929</v>
      </c>
    </row>
    <row r="5" customFormat="false" ht="15" hidden="false" customHeight="false" outlineLevel="0" collapsed="false">
      <c r="A5" s="17" t="s">
        <v>192</v>
      </c>
      <c r="B5" s="17" t="s">
        <v>930</v>
      </c>
      <c r="C5" s="407" t="s">
        <v>193</v>
      </c>
      <c r="D5" s="17" t="str">
        <f aca="false">INDEX(Campaigns!$H$6:$H$45,MATCH($C5,Campaigns!$A$6:$A$45,0))</f>
        <v>PAUSED</v>
      </c>
      <c r="E5" s="408" t="n">
        <f aca="false">INDEX(Campaigns!$N$6:$N$45,MATCH($C5,Campaigns!$A$6:$A$45,0))</f>
        <v>71</v>
      </c>
      <c r="F5" s="408" t="n">
        <f aca="false">INDEX(Campaigns!$P$6:$P$45,MATCH($C5,Campaigns!$A$6:$A$45,0))</f>
        <v>0</v>
      </c>
      <c r="G5" s="409" t="n">
        <f aca="false">INDEX(Campaigns!$O$6:$O$45,MATCH($C5,Campaigns!$A$6:$A$45,0))</f>
        <v>63.38</v>
      </c>
      <c r="H5" s="410" t="n">
        <f aca="false">IF(E5=0,0,F5/E5)</f>
        <v>0</v>
      </c>
      <c r="I5" s="17" t="str">
        <f aca="false">IF(D5="PAUSED","Done","Still running: pause")</f>
        <v>Done</v>
      </c>
      <c r="J5" s="17" t="str">
        <f aca="false">INDEX(Campaigns!$AT$6:$AT$45,MATCH($C5,Campaigns!$A$6:$A$45,0))&amp;": "&amp;INDEX(Campaigns!$AV$6:$AV$45,MATCH($C5,Campaigns!$A$6:$A$45,0))</f>
        <v>5 PAUSE (wasted spend): Keep paused; drop from the core list</v>
      </c>
    </row>
    <row r="6" customFormat="false" ht="15" hidden="false" customHeight="false" outlineLevel="0" collapsed="false">
      <c r="A6" s="17" t="s">
        <v>197</v>
      </c>
      <c r="B6" s="17" t="s">
        <v>931</v>
      </c>
      <c r="C6" s="407" t="s">
        <v>198</v>
      </c>
      <c r="D6" s="17" t="str">
        <f aca="false">INDEX(Campaigns!$H$6:$H$45,MATCH($C6,Campaigns!$A$6:$A$45,0))</f>
        <v>PAUSED</v>
      </c>
      <c r="E6" s="408" t="n">
        <f aca="false">INDEX(Campaigns!$N$6:$N$45,MATCH($C6,Campaigns!$A$6:$A$45,0))</f>
        <v>72</v>
      </c>
      <c r="F6" s="408" t="n">
        <f aca="false">INDEX(Campaigns!$P$6:$P$45,MATCH($C6,Campaigns!$A$6:$A$45,0))</f>
        <v>0</v>
      </c>
      <c r="G6" s="409" t="n">
        <f aca="false">INDEX(Campaigns!$O$6:$O$45,MATCH($C6,Campaigns!$A$6:$A$45,0))</f>
        <v>62.18</v>
      </c>
      <c r="H6" s="410" t="n">
        <f aca="false">IF(E6=0,0,F6/E6)</f>
        <v>0</v>
      </c>
      <c r="I6" s="17" t="str">
        <f aca="false">IF(D6="PAUSED","Done","Still running: pause")</f>
        <v>Done</v>
      </c>
      <c r="J6" s="17" t="str">
        <f aca="false">INDEX(Campaigns!$AT$6:$AT$45,MATCH($C6,Campaigns!$A$6:$A$45,0))&amp;": "&amp;INDEX(Campaigns!$AV$6:$AV$45,MATCH($C6,Campaigns!$A$6:$A$45,0))</f>
        <v>5 PAUSE (wasted spend): Keep paused</v>
      </c>
    </row>
    <row r="7" customFormat="false" ht="15" hidden="false" customHeight="false" outlineLevel="0" collapsed="false">
      <c r="A7" s="17" t="s">
        <v>217</v>
      </c>
      <c r="B7" s="17" t="s">
        <v>932</v>
      </c>
      <c r="C7" s="407" t="s">
        <v>218</v>
      </c>
      <c r="D7" s="17" t="str">
        <f aca="false">INDEX(Campaigns!$H$6:$H$45,MATCH($C7,Campaigns!$A$6:$A$45,0))</f>
        <v>PAUSED</v>
      </c>
      <c r="E7" s="408" t="n">
        <f aca="false">INDEX(Campaigns!$N$6:$N$45,MATCH($C7,Campaigns!$A$6:$A$45,0))</f>
        <v>32</v>
      </c>
      <c r="F7" s="408" t="n">
        <f aca="false">INDEX(Campaigns!$P$6:$P$45,MATCH($C7,Campaigns!$A$6:$A$45,0))</f>
        <v>0</v>
      </c>
      <c r="G7" s="409" t="n">
        <f aca="false">INDEX(Campaigns!$O$6:$O$45,MATCH($C7,Campaigns!$A$6:$A$45,0))</f>
        <v>27.55</v>
      </c>
      <c r="H7" s="410" t="n">
        <f aca="false">IF(E7=0,0,F7/E7)</f>
        <v>0</v>
      </c>
      <c r="I7" s="17" t="str">
        <f aca="false">IF(D7="PAUSED","Done","Still running: pause")</f>
        <v>Done</v>
      </c>
      <c r="J7" s="17" t="str">
        <f aca="false">INDEX(Campaigns!$AT$6:$AT$45,MATCH($C7,Campaigns!$A$6:$A$45,0))&amp;": "&amp;INDEX(Campaigns!$AV$6:$AV$45,MATCH($C7,Campaigns!$A$6:$A$45,0))</f>
        <v>5 PAUSE (wasted spend): Keep paused</v>
      </c>
    </row>
    <row r="8" customFormat="false" ht="15" hidden="false" customHeight="false" outlineLevel="0" collapsed="false">
      <c r="A8" s="17" t="s">
        <v>233</v>
      </c>
      <c r="B8" s="17" t="s">
        <v>933</v>
      </c>
      <c r="C8" s="407" t="s">
        <v>234</v>
      </c>
      <c r="D8" s="17" t="str">
        <f aca="false">INDEX(Campaigns!$H$6:$H$45,MATCH($C8,Campaigns!$A$6:$A$45,0))</f>
        <v>PAUSED</v>
      </c>
      <c r="E8" s="408" t="n">
        <f aca="false">INDEX(Campaigns!$N$6:$N$45,MATCH($C8,Campaigns!$A$6:$A$45,0))</f>
        <v>18</v>
      </c>
      <c r="F8" s="408" t="n">
        <f aca="false">INDEX(Campaigns!$P$6:$P$45,MATCH($C8,Campaigns!$A$6:$A$45,0))</f>
        <v>0</v>
      </c>
      <c r="G8" s="409" t="n">
        <f aca="false">INDEX(Campaigns!$O$6:$O$45,MATCH($C8,Campaigns!$A$6:$A$45,0))</f>
        <v>20.86</v>
      </c>
      <c r="H8" s="410" t="n">
        <f aca="false">IF(E8=0,0,F8/E8)</f>
        <v>0</v>
      </c>
      <c r="I8" s="17" t="str">
        <f aca="false">IF(D8="PAUSED","Done","Still running: pause")</f>
        <v>Done</v>
      </c>
      <c r="J8" s="17" t="str">
        <f aca="false">INDEX(Campaigns!$AT$6:$AT$45,MATCH($C8,Campaigns!$A$6:$A$45,0))&amp;": "&amp;INDEX(Campaigns!$AV$6:$AV$45,MATCH($C8,Campaigns!$A$6:$A$45,0))</f>
        <v>5 PAUSE (wasted spend): Keep paused</v>
      </c>
    </row>
    <row r="9" customFormat="false" ht="25.35" hidden="false" customHeight="false" outlineLevel="0" collapsed="false">
      <c r="A9" s="17" t="s">
        <v>127</v>
      </c>
      <c r="B9" s="17" t="s">
        <v>934</v>
      </c>
      <c r="C9" s="407" t="s">
        <v>128</v>
      </c>
      <c r="D9" s="17" t="str">
        <f aca="false">INDEX(Campaigns!$H$6:$H$45,MATCH($C9,Campaigns!$A$6:$A$45,0))</f>
        <v>PAUSED</v>
      </c>
      <c r="E9" s="408" t="n">
        <f aca="false">INDEX(Campaigns!$N$6:$N$45,MATCH($C9,Campaigns!$A$6:$A$45,0))</f>
        <v>50</v>
      </c>
      <c r="F9" s="408" t="n">
        <f aca="false">INDEX(Campaigns!$P$6:$P$45,MATCH($C9,Campaigns!$A$6:$A$45,0))</f>
        <v>2</v>
      </c>
      <c r="G9" s="409" t="n">
        <f aca="false">INDEX(Campaigns!$O$6:$O$45,MATCH($C9,Campaigns!$A$6:$A$45,0))</f>
        <v>44.85</v>
      </c>
      <c r="H9" s="410" t="n">
        <f aca="false">IF(E9=0,0,F9/E9)</f>
        <v>0.04</v>
      </c>
      <c r="I9" s="17" t="str">
        <f aca="false">IF(D9="PAUSED","Done","Still running: pause")</f>
        <v>Done</v>
      </c>
      <c r="J9" s="17" t="str">
        <f aca="false">INDEX(Campaigns!$AT$6:$AT$45,MATCH($C9,Campaigns!$A$6:$A$45,0))&amp;": "&amp;INDEX(Campaigns!$AV$6:$AV$45,MATCH($C9,Campaigns!$A$6:$A$45,0))</f>
        <v>1 RETAIN (generating orders): Re-enable. Bid unchanged ($0.69); TOS +450% to +300%; budget $10 a day</v>
      </c>
    </row>
    <row r="10" customFormat="false" ht="15" hidden="false" customHeight="false" outlineLevel="0" collapsed="false">
      <c r="A10" s="17" t="s">
        <v>220</v>
      </c>
      <c r="B10" s="17" t="s">
        <v>935</v>
      </c>
      <c r="C10" s="407" t="s">
        <v>221</v>
      </c>
      <c r="D10" s="17" t="str">
        <f aca="false">INDEX(Campaigns!$H$6:$H$45,MATCH($C10,Campaigns!$A$6:$A$45,0))</f>
        <v>PAUSED</v>
      </c>
      <c r="E10" s="408" t="n">
        <f aca="false">INDEX(Campaigns!$N$6:$N$45,MATCH($C10,Campaigns!$A$6:$A$45,0))</f>
        <v>28</v>
      </c>
      <c r="F10" s="408" t="n">
        <f aca="false">INDEX(Campaigns!$P$6:$P$45,MATCH($C10,Campaigns!$A$6:$A$45,0))</f>
        <v>0</v>
      </c>
      <c r="G10" s="409" t="n">
        <f aca="false">INDEX(Campaigns!$O$6:$O$45,MATCH($C10,Campaigns!$A$6:$A$45,0))</f>
        <v>27.35</v>
      </c>
      <c r="H10" s="410" t="n">
        <f aca="false">IF(E10=0,0,F10/E10)</f>
        <v>0</v>
      </c>
      <c r="I10" s="17" t="str">
        <f aca="false">IF(D10="PAUSED","Done","Still running: pause")</f>
        <v>Done</v>
      </c>
      <c r="J10" s="17" t="str">
        <f aca="false">INDEX(Campaigns!$AT$6:$AT$45,MATCH($C10,Campaigns!$A$6:$A$45,0))&amp;": "&amp;INDEX(Campaigns!$AV$6:$AV$45,MATCH($C10,Campaigns!$A$6:$A$45,0))</f>
        <v>5 PAUSE (wasted spend): Keep paused</v>
      </c>
    </row>
    <row r="11" customFormat="false" ht="15" hidden="false" customHeight="false" outlineLevel="0" collapsed="false">
      <c r="A11" s="17" t="s">
        <v>237</v>
      </c>
      <c r="B11" s="17" t="s">
        <v>936</v>
      </c>
      <c r="C11" s="407" t="s">
        <v>238</v>
      </c>
      <c r="D11" s="17" t="str">
        <f aca="false">INDEX(Campaigns!$H$6:$H$45,MATCH($C11,Campaigns!$A$6:$A$45,0))</f>
        <v>PAUSED</v>
      </c>
      <c r="E11" s="408" t="n">
        <f aca="false">INDEX(Campaigns!$N$6:$N$45,MATCH($C11,Campaigns!$A$6:$A$45,0))</f>
        <v>43</v>
      </c>
      <c r="F11" s="408" t="n">
        <f aca="false">INDEX(Campaigns!$P$6:$P$45,MATCH($C11,Campaigns!$A$6:$A$45,0))</f>
        <v>0</v>
      </c>
      <c r="G11" s="409" t="n">
        <f aca="false">INDEX(Campaigns!$O$6:$O$45,MATCH($C11,Campaigns!$A$6:$A$45,0))</f>
        <v>19.66</v>
      </c>
      <c r="H11" s="410" t="n">
        <f aca="false">IF(E11=0,0,F11/E11)</f>
        <v>0</v>
      </c>
      <c r="I11" s="17" t="str">
        <f aca="false">IF(D11="PAUSED","Done","Still running: pause")</f>
        <v>Done</v>
      </c>
      <c r="J11" s="17" t="str">
        <f aca="false">INDEX(Campaigns!$AT$6:$AT$45,MATCH($C11,Campaigns!$A$6:$A$45,0))&amp;": "&amp;INDEX(Campaigns!$AV$6:$AV$45,MATCH($C11,Campaigns!$A$6:$A$45,0))</f>
        <v>5 PAUSE (wasted spend): Keep paused</v>
      </c>
    </row>
    <row r="12" customFormat="false" ht="15" hidden="false" customHeight="false" outlineLevel="0" collapsed="false">
      <c r="A12" s="17" t="s">
        <v>210</v>
      </c>
      <c r="B12" s="17" t="s">
        <v>936</v>
      </c>
      <c r="C12" s="407" t="s">
        <v>211</v>
      </c>
      <c r="D12" s="17" t="str">
        <f aca="false">INDEX(Campaigns!$H$6:$H$45,MATCH($C12,Campaigns!$A$6:$A$45,0))</f>
        <v>ENABLED</v>
      </c>
      <c r="E12" s="408" t="n">
        <f aca="false">INDEX(Campaigns!$N$6:$N$45,MATCH($C12,Campaigns!$A$6:$A$45,0))</f>
        <v>18</v>
      </c>
      <c r="F12" s="408" t="n">
        <f aca="false">INDEX(Campaigns!$P$6:$P$45,MATCH($C12,Campaigns!$A$6:$A$45,0))</f>
        <v>0</v>
      </c>
      <c r="G12" s="409" t="n">
        <f aca="false">INDEX(Campaigns!$O$6:$O$45,MATCH($C12,Campaigns!$A$6:$A$45,0))</f>
        <v>28.44</v>
      </c>
      <c r="H12" s="410" t="n">
        <f aca="false">IF(E12=0,0,F12/E12)</f>
        <v>0</v>
      </c>
      <c r="I12" s="17" t="str">
        <f aca="false">IF(D12="PAUSED","Done","Still running: pause")</f>
        <v>Still running: pause</v>
      </c>
      <c r="J12" s="17" t="str">
        <f aca="false">INDEX(Campaigns!$AT$6:$AT$45,MATCH($C12,Campaigns!$A$6:$A$45,0))&amp;": "&amp;INDEX(Campaigns!$AV$6:$AV$45,MATCH($C12,Campaigns!$A$6:$A$45,0))</f>
        <v>5 PAUSE (wasted spend): Pause now</v>
      </c>
    </row>
    <row r="13" customFormat="false" ht="15" hidden="false" customHeight="false" outlineLevel="0" collapsed="false">
      <c r="A13" s="17" t="s">
        <v>275</v>
      </c>
      <c r="B13" s="17" t="s">
        <v>936</v>
      </c>
      <c r="C13" s="407" t="s">
        <v>276</v>
      </c>
      <c r="D13" s="17" t="str">
        <f aca="false">INDEX(Campaigns!$H$6:$H$45,MATCH($C13,Campaigns!$A$6:$A$45,0))</f>
        <v>ENABLED</v>
      </c>
      <c r="E13" s="408" t="n">
        <f aca="false">INDEX(Campaigns!$N$6:$N$45,MATCH($C13,Campaigns!$A$6:$A$45,0))</f>
        <v>2</v>
      </c>
      <c r="F13" s="408" t="n">
        <f aca="false">INDEX(Campaigns!$P$6:$P$45,MATCH($C13,Campaigns!$A$6:$A$45,0))</f>
        <v>0</v>
      </c>
      <c r="G13" s="409" t="n">
        <f aca="false">INDEX(Campaigns!$O$6:$O$45,MATCH($C13,Campaigns!$A$6:$A$45,0))</f>
        <v>6.03</v>
      </c>
      <c r="H13" s="410" t="n">
        <f aca="false">IF(E13=0,0,F13/E13)</f>
        <v>0</v>
      </c>
      <c r="I13" s="17" t="str">
        <f aca="false">IF(D13="PAUSED","Done","Still running: pause")</f>
        <v>Still running: pause</v>
      </c>
      <c r="J13" s="17" t="str">
        <f aca="false">INDEX(Campaigns!$AT$6:$AT$45,MATCH($C13,Campaigns!$A$6:$A$45,0))&amp;": "&amp;INDEX(Campaigns!$AV$6:$AV$45,MATCH($C13,Campaigns!$A$6:$A$45,0))</f>
        <v>5 PAUSE (wasted spend): Pause now</v>
      </c>
    </row>
    <row r="14" customFormat="false" ht="25.35" hidden="false" customHeight="false" outlineLevel="0" collapsed="false">
      <c r="A14" s="17" t="s">
        <v>937</v>
      </c>
      <c r="B14" s="17" t="s">
        <v>936</v>
      </c>
      <c r="C14" s="407" t="s">
        <v>184</v>
      </c>
      <c r="D14" s="17" t="str">
        <f aca="false">INDEX(Campaigns!$H$6:$H$45,MATCH($C14,Campaigns!$A$6:$A$45,0))</f>
        <v>ENABLED</v>
      </c>
      <c r="E14" s="408" t="n">
        <f aca="false">INDEX(Campaigns!$N$6:$N$45,MATCH($C14,Campaigns!$A$6:$A$45,0))</f>
        <v>11</v>
      </c>
      <c r="F14" s="408" t="n">
        <f aca="false">INDEX(Campaigns!$P$6:$P$45,MATCH($C14,Campaigns!$A$6:$A$45,0))</f>
        <v>0</v>
      </c>
      <c r="G14" s="409" t="n">
        <f aca="false">INDEX(Campaigns!$O$6:$O$45,MATCH($C14,Campaigns!$A$6:$A$45,0))</f>
        <v>20.64</v>
      </c>
      <c r="H14" s="410" t="n">
        <f aca="false">IF(E14=0,0,F14/E14)</f>
        <v>0</v>
      </c>
      <c r="I14" s="17" t="str">
        <f aca="false">IF(D14="PAUSED","Done","Still running: pause")</f>
        <v>Still running: pause</v>
      </c>
      <c r="J14" s="17" t="str">
        <f aca="false">INDEX(Campaigns!$AT$6:$AT$45,MATCH($C14,Campaigns!$A$6:$A$45,0))&amp;": "&amp;INDEX(Campaigns!$AV$6:$AV$45,MATCH($C14,Campaigns!$A$6:$A$45,0))</f>
        <v>4 RESTRUCTURE IN REBUILD: Pause now; restructure in the rebuild</v>
      </c>
    </row>
    <row r="16" customFormat="false" ht="15" hidden="false" customHeight="false" outlineLevel="0" collapsed="false">
      <c r="A16" s="39" t="s">
        <v>938</v>
      </c>
      <c r="B16" s="39" t="str">
        <f aca="false">COUNTIF(I5:I13,"Done")&amp;" of "&amp;COUNTA(A5:A13)</f>
        <v>7 of 9</v>
      </c>
    </row>
    <row r="17" customFormat="false" ht="15" hidden="false" customHeight="false" outlineLevel="0" collapsed="false">
      <c r="A17" s="12" t="s">
        <v>939</v>
      </c>
    </row>
  </sheetData>
  <conditionalFormatting sqref="I5:I14">
    <cfRule type="expression" priority="2" aboveAverage="0" equalAverage="0" bottom="0" percent="0" rank="0" text="" dxfId="0">
      <formula>I5="Done"</formula>
    </cfRule>
    <cfRule type="expression" priority="3" aboveAverage="0" equalAverage="0" bottom="0" percent="0" rank="0" text="" dxfId="2">
      <formula>I5&lt;&gt;"Done"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40" t="s">
        <v>940</v>
      </c>
    </row>
    <row r="2" customFormat="false" ht="15" hidden="false" customHeight="false" outlineLevel="0" collapsed="false">
      <c r="A2" s="41" t="s">
        <v>941</v>
      </c>
    </row>
    <row r="4" customFormat="false" ht="30" hidden="false" customHeight="true" outlineLevel="0" collapsed="false">
      <c r="A4" s="43" t="s">
        <v>942</v>
      </c>
      <c r="B4" s="43" t="s">
        <v>943</v>
      </c>
      <c r="C4" s="43" t="s">
        <v>944</v>
      </c>
    </row>
    <row r="5" customFormat="false" ht="35.05" hidden="false" customHeight="false" outlineLevel="0" collapsed="false">
      <c r="A5" s="411" t="s">
        <v>945</v>
      </c>
      <c r="B5" s="412" t="n">
        <v>25</v>
      </c>
      <c r="C5" s="413" t="s">
        <v>946</v>
      </c>
    </row>
    <row r="6" customFormat="false" ht="15" hidden="false" customHeight="false" outlineLevel="0" collapsed="false">
      <c r="A6" s="411" t="s">
        <v>947</v>
      </c>
      <c r="B6" s="412" t="n">
        <v>25</v>
      </c>
      <c r="C6" s="413" t="s">
        <v>948</v>
      </c>
    </row>
    <row r="7" customFormat="false" ht="15" hidden="false" customHeight="false" outlineLevel="0" collapsed="false">
      <c r="A7" s="411" t="s">
        <v>949</v>
      </c>
      <c r="B7" s="412" t="n">
        <v>175</v>
      </c>
      <c r="C7" s="413" t="s">
        <v>950</v>
      </c>
    </row>
    <row r="8" customFormat="false" ht="15" hidden="false" customHeight="false" outlineLevel="0" collapsed="false">
      <c r="A8" s="411" t="s">
        <v>951</v>
      </c>
      <c r="B8" s="414" t="n">
        <v>0.45</v>
      </c>
      <c r="C8" s="413" t="s">
        <v>952</v>
      </c>
    </row>
    <row r="9" customFormat="false" ht="15" hidden="false" customHeight="false" outlineLevel="0" collapsed="false">
      <c r="A9" s="411" t="s">
        <v>953</v>
      </c>
      <c r="B9" s="415" t="n">
        <v>3</v>
      </c>
      <c r="C9" s="413" t="s">
        <v>954</v>
      </c>
    </row>
    <row r="10" customFormat="false" ht="15" hidden="false" customHeight="false" outlineLevel="0" collapsed="false">
      <c r="A10" s="411" t="s">
        <v>955</v>
      </c>
      <c r="B10" s="416" t="n">
        <v>20</v>
      </c>
      <c r="C10" s="413" t="s">
        <v>956</v>
      </c>
    </row>
    <row r="11" customFormat="false" ht="15" hidden="false" customHeight="false" outlineLevel="0" collapsed="false">
      <c r="A11" s="411" t="s">
        <v>957</v>
      </c>
      <c r="B11" s="416" t="n">
        <v>100</v>
      </c>
      <c r="C11" s="413" t="s">
        <v>952</v>
      </c>
    </row>
    <row r="12" customFormat="false" ht="15" hidden="false" customHeight="false" outlineLevel="0" collapsed="false">
      <c r="A12" s="411" t="s">
        <v>958</v>
      </c>
      <c r="B12" s="417" t="n">
        <v>0.04</v>
      </c>
      <c r="C12" s="413" t="s">
        <v>952</v>
      </c>
    </row>
    <row r="13" customFormat="false" ht="15" hidden="false" customHeight="false" outlineLevel="0" collapsed="false">
      <c r="A13" s="411" t="s">
        <v>959</v>
      </c>
      <c r="B13" s="417" t="n">
        <v>0.02</v>
      </c>
      <c r="C13" s="413" t="s">
        <v>960</v>
      </c>
    </row>
    <row r="14" customFormat="false" ht="15" hidden="false" customHeight="false" outlineLevel="0" collapsed="false">
      <c r="A14" s="411" t="s">
        <v>961</v>
      </c>
      <c r="B14" s="418" t="n">
        <v>3</v>
      </c>
      <c r="C14" s="413" t="s">
        <v>952</v>
      </c>
    </row>
    <row r="15" customFormat="false" ht="15" hidden="false" customHeight="false" outlineLevel="0" collapsed="false">
      <c r="A15" s="411" t="s">
        <v>962</v>
      </c>
      <c r="B15" s="414" t="n">
        <v>26.99</v>
      </c>
      <c r="C15" s="413" t="s">
        <v>963</v>
      </c>
    </row>
    <row r="16" customFormat="false" ht="15" hidden="false" customHeight="false" outlineLevel="0" collapsed="false">
      <c r="A16" s="411" t="s">
        <v>964</v>
      </c>
      <c r="B16" s="414" t="n">
        <v>34.99</v>
      </c>
      <c r="C16" s="413" t="s">
        <v>963</v>
      </c>
    </row>
    <row r="17" customFormat="false" ht="15" hidden="false" customHeight="false" outlineLevel="0" collapsed="false">
      <c r="A17" s="411" t="s">
        <v>965</v>
      </c>
      <c r="B17" s="414" t="n">
        <v>3.44</v>
      </c>
      <c r="C17" s="413" t="s">
        <v>966</v>
      </c>
    </row>
    <row r="18" customFormat="false" ht="15" hidden="false" customHeight="false" outlineLevel="0" collapsed="false">
      <c r="A18" s="411" t="s">
        <v>967</v>
      </c>
      <c r="B18" s="414" t="n">
        <v>4.37</v>
      </c>
      <c r="C18" s="413" t="s">
        <v>966</v>
      </c>
    </row>
    <row r="19" customFormat="false" ht="15" hidden="false" customHeight="false" outlineLevel="0" collapsed="false">
      <c r="A19" s="411" t="s">
        <v>968</v>
      </c>
      <c r="B19" s="417" t="n">
        <v>0.38</v>
      </c>
      <c r="C19" s="413" t="s">
        <v>969</v>
      </c>
    </row>
    <row r="20" customFormat="false" ht="15" hidden="false" customHeight="false" outlineLevel="0" collapsed="false">
      <c r="A20" s="411" t="s">
        <v>970</v>
      </c>
      <c r="B20" s="416" t="n">
        <v>50</v>
      </c>
      <c r="C20" s="413" t="s">
        <v>971</v>
      </c>
    </row>
    <row r="21" customFormat="false" ht="15" hidden="false" customHeight="false" outlineLevel="0" collapsed="false">
      <c r="A21" s="411" t="s">
        <v>972</v>
      </c>
      <c r="B21" s="417" t="n">
        <v>0.25</v>
      </c>
      <c r="C21" s="413" t="s">
        <v>973</v>
      </c>
    </row>
    <row r="22" customFormat="false" ht="15" hidden="false" customHeight="false" outlineLevel="0" collapsed="false">
      <c r="A22" s="411" t="s">
        <v>974</v>
      </c>
      <c r="B22" s="417" t="n">
        <v>0.15</v>
      </c>
      <c r="C22" s="413" t="s">
        <v>975</v>
      </c>
    </row>
    <row r="23" customFormat="false" ht="15" hidden="false" customHeight="false" outlineLevel="0" collapsed="false">
      <c r="A23" s="411" t="s">
        <v>976</v>
      </c>
      <c r="B23" s="415" t="n">
        <v>0.2</v>
      </c>
      <c r="C23" s="413" t="s">
        <v>977</v>
      </c>
    </row>
    <row r="24" customFormat="false" ht="15" hidden="false" customHeight="false" outlineLevel="0" collapsed="false">
      <c r="A24" s="411" t="s">
        <v>978</v>
      </c>
      <c r="B24" s="414" t="n">
        <v>0.1</v>
      </c>
      <c r="C24" s="413" t="s">
        <v>979</v>
      </c>
    </row>
    <row r="25" customFormat="false" ht="15" hidden="false" customHeight="false" outlineLevel="0" collapsed="false">
      <c r="A25" s="411" t="s">
        <v>980</v>
      </c>
      <c r="B25" s="416" t="n">
        <v>58</v>
      </c>
      <c r="C25" s="413" t="s">
        <v>981</v>
      </c>
    </row>
    <row r="26" customFormat="false" ht="15" hidden="false" customHeight="false" outlineLevel="0" collapsed="false">
      <c r="A26" s="411" t="s">
        <v>982</v>
      </c>
      <c r="B26" s="417" t="n">
        <v>0.04</v>
      </c>
      <c r="C26" s="413" t="s">
        <v>983</v>
      </c>
    </row>
    <row r="27" customFormat="false" ht="15" hidden="false" customHeight="false" outlineLevel="0" collapsed="false">
      <c r="A27" s="411" t="s">
        <v>984</v>
      </c>
      <c r="B27" s="416" t="n">
        <v>300</v>
      </c>
      <c r="C27" s="413" t="s">
        <v>985</v>
      </c>
    </row>
    <row r="29" customFormat="false" ht="15" hidden="false" customHeight="false" outlineLevel="0" collapsed="false">
      <c r="A29" s="419" t="s">
        <v>986</v>
      </c>
    </row>
    <row r="30" customFormat="false" ht="15" hidden="false" customHeight="false" outlineLevel="0" collapsed="false">
      <c r="A30" s="411" t="s">
        <v>987</v>
      </c>
      <c r="B30" s="420" t="n">
        <f aca="false">Rules!$B$17/Rules!$B$15</f>
        <v>0.127454612819563</v>
      </c>
      <c r="C30" s="421" t="s">
        <v>988</v>
      </c>
    </row>
    <row r="31" customFormat="false" ht="15" hidden="false" customHeight="false" outlineLevel="0" collapsed="false">
      <c r="A31" s="411" t="s">
        <v>989</v>
      </c>
      <c r="B31" s="420" t="n">
        <f aca="false">Rules!$B$18/Rules!$B$16</f>
        <v>0.124892826521863</v>
      </c>
      <c r="C31" s="421" t="s">
        <v>988</v>
      </c>
    </row>
    <row r="32" customFormat="false" ht="15" hidden="false" customHeight="false" outlineLevel="0" collapsed="false">
      <c r="A32" s="411" t="s">
        <v>990</v>
      </c>
      <c r="B32" s="420" t="n">
        <f aca="false">AVERAGE(B30:B31)</f>
        <v>0.126173719670713</v>
      </c>
      <c r="C32" s="421" t="s">
        <v>991</v>
      </c>
    </row>
    <row r="33" customFormat="false" ht="15" hidden="false" customHeight="false" outlineLevel="0" collapsed="false">
      <c r="A33" s="411" t="s">
        <v>992</v>
      </c>
      <c r="B33" s="420" t="n">
        <f aca="false">B32*Rules!$B$14</f>
        <v>0.378521159012139</v>
      </c>
      <c r="C33" s="421" t="s">
        <v>993</v>
      </c>
    </row>
    <row r="34" customFormat="false" ht="15" hidden="false" customHeight="false" outlineLevel="0" collapsed="false">
      <c r="A34" s="411" t="s">
        <v>994</v>
      </c>
      <c r="B34" s="422" t="n">
        <f aca="false">AVERAGE(Rules!$B$17,Rules!$B$18)</f>
        <v>3.905</v>
      </c>
      <c r="C34" s="421" t="s">
        <v>995</v>
      </c>
    </row>
    <row r="35" customFormat="false" ht="15" hidden="false" customHeight="false" outlineLevel="0" collapsed="false">
      <c r="A35" s="411" t="s">
        <v>996</v>
      </c>
      <c r="B35" s="422" t="n">
        <f aca="false">AVERAGE(Rules!$B$15,Rules!$B$16)</f>
        <v>30.99</v>
      </c>
      <c r="C35" s="421"/>
    </row>
    <row r="36" customFormat="false" ht="15" hidden="false" customHeight="false" outlineLevel="0" collapsed="false">
      <c r="A36" s="411" t="s">
        <v>997</v>
      </c>
      <c r="B36" s="420" t="n">
        <f aca="false">IF(SUM(Placements!B5:B7)=0,0,SUM(Placements!D5:D7)/SUM(Placements!B5:B7))</f>
        <v>0.0128205128205128</v>
      </c>
      <c r="C36" s="421" t="s">
        <v>998</v>
      </c>
    </row>
    <row r="37" customFormat="false" ht="15" hidden="false" customHeight="false" outlineLevel="0" collapsed="false">
      <c r="A37" s="411" t="s">
        <v>999</v>
      </c>
      <c r="B37" s="423" t="n">
        <f aca="false">IF(B36=0,0,Placements!E5/B36)</f>
        <v>2</v>
      </c>
      <c r="C37" s="421" t="s">
        <v>1000</v>
      </c>
    </row>
    <row r="38" customFormat="false" ht="15" hidden="false" customHeight="false" outlineLevel="0" collapsed="false">
      <c r="A38" s="411" t="s">
        <v>1001</v>
      </c>
      <c r="B38" s="423" t="n">
        <f aca="false">IF(B36=0,0,Placements!E6/B36)</f>
        <v>0.507592190889371</v>
      </c>
      <c r="C38" s="421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2026-10-22T11:35:16Z</dcterms:created>
  <dc:creator>openpyxl</dc:creator>
  <dc:description/>
  <dc:language>en-US</dc:language>
  <cp:lastModifiedBy/>
  <dcterms:modified xsi:type="dcterms:W3CDTF">2026-10-22T11:35:16Z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