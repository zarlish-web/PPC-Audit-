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Campaigns" sheetId="2" state="visible" r:id="rId4"/>
    <sheet name="Spend Mix" sheetId="3" state="visible" r:id="rId5"/>
    <sheet name="Placements" sheetId="4" state="visible" r:id="rId6"/>
    <sheet name="Stop List" sheetId="5" state="visible" r:id="rId7"/>
    <sheet name="Phase 0 Check" sheetId="6" state="visible" r:id="rId8"/>
    <sheet name="Joseph Decisions" sheetId="7" state="visible" r:id="rId9"/>
    <sheet name="Rules" sheetId="8" state="visible" r:id="rId10"/>
  </sheets>
  <definedNames>
    <definedName function="false" hidden="true" localSheetId="1" name="_xlnm._FilterDatabase" vbProcedure="false">Campaigns!$A$5:$AX$45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I46" authorId="0">
      <text>
        <r>
          <rPr>
            <sz val="10"/>
            <rFont val="Arial"/>
            <family val="2"/>
          </rPr>
          <t xml:space="preserve">Sum of daily budgets of ENABLED campaigns only.</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D5" authorId="0">
      <text>
        <r>
          <rPr>
            <sz val="10"/>
            <rFont val="Arial"/>
            <family val="2"/>
          </rPr>
          <t xml:space="preserve">Measured: Amazon placement report at campaign grain (orders = CVR x clicks per campaign), summed over all 40 campaigns. Source: Ecotero Command Center.</t>
        </r>
      </text>
    </comment>
    <comment ref="D6" authorId="0">
      <text>
        <r>
          <rPr>
            <sz val="10"/>
            <rFont val="Arial"/>
            <family val="2"/>
          </rPr>
          <t xml:space="preserve">Measured: Amazon placement report at campaign grain (orders = CVR x clicks per campaign), summed over all 40 campaigns. Source: Ecotero Command Center.</t>
        </r>
      </text>
    </comment>
    <comment ref="D7" authorId="0">
      <text>
        <r>
          <rPr>
            <sz val="10"/>
            <rFont val="Arial"/>
            <family val="2"/>
          </rPr>
          <t xml:space="preserve">Measured: Amazon placement report at campaign grain (orders = CVR x clicks per campaign), summed over all 40 campaigns. Source: Ecotero Command Center.</t>
        </r>
      </text>
    </comment>
    <comment ref="D8" authorId="0">
      <text>
        <r>
          <rPr>
            <sz val="10"/>
            <rFont val="Arial"/>
            <family val="2"/>
          </rPr>
          <t xml:space="preserve">Implied: total orders since launch minus on-Amazon placement orders. Amazon does not report Off-Amazon orders at this grain.</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D10" authorId="0">
      <text>
        <r>
          <rPr>
            <sz val="10"/>
            <rFont val="Arial"/>
            <family val="2"/>
          </rPr>
          <t xml:space="preserve">Value: sum of product-page spend across campaigns, 8 to 22 Oct, from the Command Center placement split.</t>
        </r>
      </text>
    </comment>
  </commentList>
</comments>
</file>

<file path=xl/sharedStrings.xml><?xml version="1.0" encoding="utf-8"?>
<sst xmlns="http://schemas.openxmlformats.org/spreadsheetml/2006/main" count="823" uniqueCount="472">
  <si>
    <t xml:space="preserve">Sleephoria Boho Throw Blanket: PPC stop list and Phase 0 check</t>
  </si>
  <si>
    <t xml:space="preserve">For Shayan Rana, with Joseph Fisher (PPC owner until the PPC lead seat is filled)  |  Data as of 22 Oct 2026  |  Parent ASIN B0HGLF8X5Q, Amazon US</t>
  </si>
  <si>
    <t xml:space="preserve">The ask</t>
  </si>
  <si>
    <t xml:space="preserve">From Erik's 20 Oct post in #boho-throw-blanket: with Joseph, apply the PPC stop list and the Phase 0 hold ($25 a day, brand defence, boho core exact) from the PPC plan section of the decision pack.</t>
  </si>
  <si>
    <t xml:space="preserve">Verdict</t>
  </si>
  <si>
    <t xml:space="preserve">The stop list is mostly applied (7 of 9 paused). Phase 0 is not: 4 of the 5 boho core exact terms it says to run are paused, most of the last 15 days' spend went to campaigns outside Phase 0 (competitor product targeting and king or queen size terms), and the $25 a day cap is not set anywhere. No campaign is profitable at about 1% conversion; Phase 0 exists to cap the loss until the listing rebuild (target live 6 Nov), not to make money.</t>
  </si>
  <si>
    <t xml:space="preserve">Key numbers</t>
  </si>
  <si>
    <t xml:space="preserve">Metric</t>
  </si>
  <si>
    <t xml:space="preserve">Since launch (24 Aug to 22 Oct)</t>
  </si>
  <si>
    <t xml:space="preserve">Last 15 days (8 to 22 Oct)</t>
  </si>
  <si>
    <t xml:space="preserve">Last 30 days (23 Sep to 22 Oct)</t>
  </si>
  <si>
    <t xml:space="preserve">Note</t>
  </si>
  <si>
    <t xml:space="preserve">Ad spend</t>
  </si>
  <si>
    <t xml:space="preserve">Clicks</t>
  </si>
  <si>
    <t xml:space="preserve">Orders</t>
  </si>
  <si>
    <t xml:space="preserve">Last 15 days still filling in (7-day attribution)</t>
  </si>
  <si>
    <t xml:space="preserve">Cost per click</t>
  </si>
  <si>
    <t xml:space="preserve">Plan: $0.45 to $0.50 base</t>
  </si>
  <si>
    <t xml:space="preserve">Ad sales</t>
  </si>
  <si>
    <t xml:space="preserve">Conversion (orders / clicks)</t>
  </si>
  <si>
    <t xml:space="preserve">Category median about 6% (Brand Metrics)</t>
  </si>
  <si>
    <t xml:space="preserve">ACoS</t>
  </si>
  <si>
    <t xml:space="preserve">Break-even about 12.6% (Rules tab)</t>
  </si>
  <si>
    <t xml:space="preserve">Spend per order</t>
  </si>
  <si>
    <t xml:space="preserve">Contribution per unit is $3.44 to $4.37</t>
  </si>
  <si>
    <t xml:space="preserve">Enabled campaigns now</t>
  </si>
  <si>
    <t xml:space="preserve">Daily budget on enabled campaigns</t>
  </si>
  <si>
    <t xml:space="preserve">Phase 0 cap is $25 a day</t>
  </si>
  <si>
    <t xml:space="preserve">Share of last 15 days' spend outside Phase 0</t>
  </si>
  <si>
    <t xml:space="preserve">Competitor PAT, king/queen size, couch, pattern, stop-list leftovers</t>
  </si>
  <si>
    <t xml:space="preserve">Stop-list items done</t>
  </si>
  <si>
    <t xml:space="preserve">Off-Amazon share of orders since launch</t>
  </si>
  <si>
    <t xml:space="preserve">Implied; 0 Off-Amazon clicks in the last 30 days</t>
  </si>
  <si>
    <t xml:space="preserve">What we found</t>
  </si>
  <si>
    <t xml:space="preserve">1. Results: since launch the boho has spent about $1,648 for 34 ad orders (ACoS about 154%). In the last 15 days it spent about $237 for 2 orders. Break-even ACoS is about 12.6%, so every campaign loses money.</t>
  </si>
  <si>
    <t xml:space="preserve">2. Stop list: 7 of 9 terms are paused. 'boho picnic blanket' and 'boho beach blanket' are still running, and 'beach blanket boho' sits inside the 'boho couch blanket' campaign (see Stop List tab).</t>
  </si>
  <si>
    <t xml:space="preserve">3. Phase 0 core is not running: of the 5 boho core exact terms, only 'bohemian throw blanket' is on. 'boho throw blanket', 'boho blanket', 'boho throw' and 'throw blanket boho' are paused.</t>
  </si>
  <si>
    <t xml:space="preserve">4. Spend is going outside Phase 0: competitor product targeting took about half of the last 15 days' spend for 1 order, and king or queen size terms about a fifth for 0 orders (see Spend Mix tab).</t>
  </si>
  <si>
    <t xml:space="preserve">5. The 'converting long tail' was Off-Amazon traffic: 1,027 of the 1,063 clicks on 'boho king size blanket' came from the Off-Amazon placement at about $0.19 a click. Off-Amazon delivered about half of all orders since launch and stopped completely before 23 Sep. That is when cost per click doubled and orders fell to about one a week (see Placements tab).</t>
  </si>
  <si>
    <t xml:space="preserve">6. The stop list was built on September data and some calls reverse on full data: 'bohemian blanket' (stopped) is the best converter at 4.0%, while 'boho king size blanket' (kept) has 0 orders on Amazon.</t>
  </si>
  <si>
    <t xml:space="preserve">7. Ten enabled campaigns run a Top of Search modifier above the +300% cap (up to +440%). 'boho king size blanket' can pay up to $4.98 a click ($0.97 bid x +413%).</t>
  </si>
  <si>
    <t xml:space="preserve">8. The plan contradicts itself in places: 'throw blanket boho' is both a Phase 0 core term and on the stop list, and the hero term 'boho throw blanket' already meets the '20+ clicks, 0 orders' negate rule.</t>
  </si>
  <si>
    <t xml:space="preserve">What to do now (Shayan, inside the plan)</t>
  </si>
  <si>
    <t xml:space="preserve">1. Pause every row marked 'Pause now' on the Campaigns tab (red): 7 competitor product-targeting campaigns, 4 king or queen size campaigns, the 2 stop-list leftovers, 'boho couch blanket', 'boho throw blankets for couch' and 4 small Phase 1 campaigns.</t>
  </si>
  <si>
    <t xml:space="preserve">2. Set a portfolio budget cap on 'SLEEPHORIA - Boho Blanket' so total spend cannot pass $25 a day, whatever gets re-enabled.</t>
  </si>
  <si>
    <t xml:space="preserve">3. Brand defence: cut the Top of Search modifier from +380% to +300%.</t>
  </si>
  <si>
    <t xml:space="preserve">4. 'bohemian throw blanket': lower the base bid from $0.52 to $0.45 and set Top of Search to +300%, so the money moves from product pages (0 orders) to Top of Search (converting). One lever per cycle, then leave it for 14 days (repo README principles 3 and 4).</t>
  </si>
  <si>
    <t xml:space="preserve">5. Mark each change in the yellow 'Done?' column and post the summary in #boho-throw-blanket for Joseph.</t>
  </si>
  <si>
    <t xml:space="preserve">What Joseph decides (see Joseph Decisions tab)</t>
  </si>
  <si>
    <t xml:space="preserve">Which boho core terms to re-enable ('boho throw', 'boho blanket', 'boho throw blanket'), whether 'bohemian blanket' comes back, what happens to 'boho king size blanket', and whether to drop 'throw blanket boho' from the core list. Also: why Off-Amazon stopped serving.</t>
  </si>
  <si>
    <t xml:space="preserve">How to use this workbook</t>
  </si>
  <si>
    <t xml:space="preserve">Campaigns: one row per campaign with settings, metrics for three windows, placement split, rule checks (formulas) and the recommended action. Filter on 'Recommended action' or 'Who decides'.</t>
  </si>
  <si>
    <t xml:space="preserve">Spend Mix: spend, clicks and orders by keyword family and by Phase 0 status.   Placements: where clicks and orders came from, and the Off-Amazon finding.</t>
  </si>
  <si>
    <t xml:space="preserve">Stop List: the 9 stop-list terms with live status.   Phase 0 Check: each Phase 0 element vs what is live.   Joseph Decisions: the open calls, with space to record them.</t>
  </si>
  <si>
    <t xml:space="preserve">Rules: the thresholds and unit economics behind every check. Change a blue value there and all checks update.</t>
  </si>
  <si>
    <t xml:space="preserve">Data sources and caveats</t>
  </si>
  <si>
    <t xml:space="preserve">Metrics: Ecotero Command Center (Sponsored Products, US), pulled 22 Oct 2026. Campaign state, daily budget and Top of Search modifier: DataDive, 22 Oct 2026. Base bids: Command Center bid snapshot (2 campaigns). Rules and economics: boho decision pack, 19 Oct 2026 (contribution is an ESTIMATE until D8).</t>
  </si>
  <si>
    <t xml:space="preserve">Sales take up to 7 days to be credited to an ad, so the last 15 days read slightly low. Placement spend is Amazon's placement share times campaign spend. Off-Amazon orders are implied (total minus on-Amazon).</t>
  </si>
  <si>
    <t xml:space="preserve">Nothing in the ad account was changed. This workbook is a recommendation for Shayan and Joseph to apply.</t>
  </si>
  <si>
    <t xml:space="preserve">All 40 boho campaigns: settings, metrics, rule checks and recommended action</t>
  </si>
  <si>
    <t xml:space="preserve">Sorted by spend since launch. Metrics: Ecotero Command Center, Sponsored Products, US. State, budget and TOS modifier: DataDive, 22 Oct 2026. Sales take up to 7 days to be credited, so the last 15 days read slightly low. Yellow columns are for you to fill in.</t>
  </si>
  <si>
    <t xml:space="preserve">Campaign</t>
  </si>
  <si>
    <t xml:space="preserve">Settings, 22 Oct</t>
  </si>
  <si>
    <t xml:space="preserve">Since launch: 24 Aug to 22 Oct</t>
  </si>
  <si>
    <t xml:space="preserve">Last 30 days: 23 Sep to 22 Oct</t>
  </si>
  <si>
    <t xml:space="preserve">Last 15 days: 8 to 22 Oct</t>
  </si>
  <si>
    <t xml:space="preserve">Placement, since launch (spend split from Amazon's placement share)</t>
  </si>
  <si>
    <t xml:space="preserve">Checks (formulas)</t>
  </si>
  <si>
    <t xml:space="preserve">Action</t>
  </si>
  <si>
    <t xml:space="preserve">Campaign ID</t>
  </si>
  <si>
    <t xml:space="preserve">Campaign name</t>
  </si>
  <si>
    <t xml:space="preserve">Target(s)</t>
  </si>
  <si>
    <t xml:space="preserve">Type</t>
  </si>
  <si>
    <t xml:space="preserve">Keyword family</t>
  </si>
  <si>
    <t xml:space="preserve">Advertised SKU</t>
  </si>
  <si>
    <t xml:space="preserve">Plan status (Phase 0)</t>
  </si>
  <si>
    <t xml:space="preserve">State</t>
  </si>
  <si>
    <t xml:space="preserve">Daily budget</t>
  </si>
  <si>
    <t xml:space="preserve">TOS modifier</t>
  </si>
  <si>
    <t xml:space="preserve">Base bid (known)</t>
  </si>
  <si>
    <t xml:space="preserve">Max TOS bid</t>
  </si>
  <si>
    <t xml:space="preserve">Impr.</t>
  </si>
  <si>
    <t xml:space="preserve">Spend</t>
  </si>
  <si>
    <t xml:space="preserve">Sales</t>
  </si>
  <si>
    <t xml:space="preserve">CTR</t>
  </si>
  <si>
    <t xml:space="preserve">CVR</t>
  </si>
  <si>
    <t xml:space="preserve">CPC</t>
  </si>
  <si>
    <t xml:space="preserve">ROAS</t>
  </si>
  <si>
    <t xml:space="preserve">TOS clicks</t>
  </si>
  <si>
    <t xml:space="preserve">TOS spend</t>
  </si>
  <si>
    <t xml:space="preserve">Product page clicks</t>
  </si>
  <si>
    <t xml:space="preserve">Product page spend</t>
  </si>
  <si>
    <t xml:space="preserve">Rest of search clicks</t>
  </si>
  <si>
    <t xml:space="preserve">Rest of search spend</t>
  </si>
  <si>
    <t xml:space="preserve">Off-Amazon clicks</t>
  </si>
  <si>
    <t xml:space="preserve">Off-Amazon spend</t>
  </si>
  <si>
    <t xml:space="preserve">Off-Amazon share of spend</t>
  </si>
  <si>
    <t xml:space="preserve">CVR rule (since launch)</t>
  </si>
  <si>
    <t xml:space="preserve">ACoS check</t>
  </si>
  <si>
    <t xml:space="preserve">TOS modifier check</t>
  </si>
  <si>
    <t xml:space="preserve">Recommended action</t>
  </si>
  <si>
    <t xml:space="preserve">Why</t>
  </si>
  <si>
    <t xml:space="preserve">Who decides</t>
  </si>
  <si>
    <t xml:space="preserve">Done? (Y/N)</t>
  </si>
  <si>
    <t xml:space="preserve">Notes</t>
  </si>
  <si>
    <t xml:space="preserve">43669682187702</t>
  </si>
  <si>
    <t xml:space="preserve">SL-BB-SP-boho king size blanket-Boho|Blanket|Size-VLSV-Exact-Rank-Fixed-SL-BOHO-BLANKET-BUTTERFLY-60x80-1-PC</t>
  </si>
  <si>
    <t xml:space="preserve">big boho blanket · boho blanket 60x 80 · boho king size blanket +1 more keywords</t>
  </si>
  <si>
    <t xml:space="preserve">Keyword</t>
  </si>
  <si>
    <t xml:space="preserve">Boho size (king / queen / 60x80)</t>
  </si>
  <si>
    <t xml:space="preserve">SL-BOHO-BLANKET-BUTTERFLY-60x80-1-PC</t>
  </si>
  <si>
    <t xml:space="preserve">Phase 0: run (as 'converting long tail')</t>
  </si>
  <si>
    <t xml:space="preserve">ENABLED</t>
  </si>
  <si>
    <t xml:space="preserve">Joseph: pause, or reset to $0.20 base, TOS +0%, budget $3</t>
  </si>
  <si>
    <t xml:space="preserve">Kept in Phase 0 as the converting long tail at about $0.20 CPC. But 1,027 of its 1,063 clicks were Off-Amazon, which stopped in late September. On Amazon it has 0 orders; bid $0.97 x +413% = up to $4.98 a click; largest budget ($30).</t>
  </si>
  <si>
    <t xml:space="preserve">Joseph</t>
  </si>
  <si>
    <t xml:space="preserve">240955455575163</t>
  </si>
  <si>
    <t xml:space="preserve">SL-BB-SP-boho throw blankets for couch-Boho|Blanket|Core-VLSV-Exact-Rank-Fixed-SL-BOHO-BLANKET-BUTTERFLY-50x60-1-PC</t>
  </si>
  <si>
    <t xml:space="preserve">boho throw blankets for couch</t>
  </si>
  <si>
    <t xml:space="preserve">Boho couch / bed</t>
  </si>
  <si>
    <t xml:space="preserve">SL-BOHO-BLANKET-BUTTERFLY-50x60-1-PC</t>
  </si>
  <si>
    <t xml:space="preserve">Not in Phase 0</t>
  </si>
  <si>
    <t xml:space="preserve">Pause now (tell Joseph: listed in pack file 05 lane L1)</t>
  </si>
  <si>
    <t xml:space="preserve">Not in the PDF's Phase 0 list. 5 orders on 476 clicks since launch (1.05%), under the 2% pause rule; 89% of its clicks were Off-Amazon.</t>
  </si>
  <si>
    <t xml:space="preserve">Shayan</t>
  </si>
  <si>
    <t xml:space="preserve">131359054806082</t>
  </si>
  <si>
    <t xml:space="preserve">SL-BB-SP-boho blanket-Boho|Blanket|Core-MSV-Exact-Rank-Fixed-SL-BOHO-BLANKET-BUTTERFLY-50x60-1-PC</t>
  </si>
  <si>
    <t xml:space="preserve">boho blanket</t>
  </si>
  <si>
    <t xml:space="preserve">Boho core</t>
  </si>
  <si>
    <t xml:space="preserve">Phase 0: run</t>
  </si>
  <si>
    <t xml:space="preserve">PAUSED</t>
  </si>
  <si>
    <t xml:space="preserve">Joseph decides: re-enable at low bid or keep paused</t>
  </si>
  <si>
    <t xml:space="preserve">Phase 0 says run it, but 1.6% CVR on 187 clicks is under the 2% pause rule. Budget is $40 a day; cut to $5 if re-enabled.</t>
  </si>
  <si>
    <t xml:space="preserve">271118311398471</t>
  </si>
  <si>
    <t xml:space="preserve">SL-BB-SP-bohemian throw blanket-Boho|Blanket|Core-LSV-Exact-Rank-Fixed-SL-BOHO-BLANKET-BUTTERFLY-50x60-1-PC</t>
  </si>
  <si>
    <t xml:space="preserve">bohemian throw blanket</t>
  </si>
  <si>
    <t xml:space="preserve">Keep on; lower base bid to $0.45 and set TOS to +300%</t>
  </si>
  <si>
    <t xml:space="preserve">Only boho core exact term live. TOS converts (1 order on 8 clicks in 15 days) while product pages took 32 of 40 clicks with 0 orders. One lever only this cycle (repo README, principle 3).</t>
  </si>
  <si>
    <t xml:space="preserve">103168292442380</t>
  </si>
  <si>
    <t xml:space="preserve">SL-BB-SP-B0BLRBXBX5-Exact-Conq-Fixed-SL-BOHO-BLANKET-BOUQUET-60x80-1-PC</t>
  </si>
  <si>
    <t xml:space="preserve">B0BLRBXBX5</t>
  </si>
  <si>
    <t xml:space="preserve">ASIN</t>
  </si>
  <si>
    <t xml:space="preserve">Competitor PAT</t>
  </si>
  <si>
    <t xml:space="preserve">SL-BOHO-BLANKET-BOUQUET-60x80-1-PC</t>
  </si>
  <si>
    <t xml:space="preserve">Not in Phase 0 (Phase 1 lane L9)</t>
  </si>
  <si>
    <t xml:space="preserve">Pause now</t>
  </si>
  <si>
    <t xml:space="preserve">Competitor product targeting is a Phase 1 lane (L9), not part of the Phase 0 hold.</t>
  </si>
  <si>
    <t xml:space="preserve">143967856454663</t>
  </si>
  <si>
    <t xml:space="preserve">SL-BB-SP-boho throw-Boho|Blanket|Core-MSV-Exact-Rank-Fixed-SL-BOHO-BLANKET-BUTTERFLY-50x60-1-PC</t>
  </si>
  <si>
    <t xml:space="preserve">boho throw</t>
  </si>
  <si>
    <t xml:space="preserve">Joseph: re-enable at $0.45 to $0.50 base, TOS up to +300%, budget $5</t>
  </si>
  <si>
    <t xml:space="preserve">Phase 0 says run it. 2.4% CVR since launch on 125 clicks: inside the 2% to 4% 'hold at lower bid' band.</t>
  </si>
  <si>
    <t xml:space="preserve">52789396358241</t>
  </si>
  <si>
    <t xml:space="preserve">SL-BB-SP-throw blanket boho-Boho|Blanket|Core-MSV-Exact-Rank-Fixed-SL-BOHO-BLANKET-BUTTERFLY-50x60-1-PC</t>
  </si>
  <si>
    <t xml:space="preserve">throw blanket boho</t>
  </si>
  <si>
    <t xml:space="preserve">Phase 0: run AND stop list</t>
  </si>
  <si>
    <t xml:space="preserve">Keep paused; remove from the core list</t>
  </si>
  <si>
    <t xml:space="preserve">Listed in both Phase 0 core and the stop list. 0 orders on 71 clicks since launch.</t>
  </si>
  <si>
    <t xml:space="preserve">143960123876477</t>
  </si>
  <si>
    <t xml:space="preserve">SL-BB-SP-boho scandinavian cotton blanket-Boho|Blanket|Material-VLSV-Exact-Rank-Fixed-SL-BOHO-BLANKET-BUTTERFLY-50x60-1-PC</t>
  </si>
  <si>
    <t xml:space="preserve">boho blanket throw cotton · boho cotton throw blanket · boho scandinavian cotton blanket +2 more keywords</t>
  </si>
  <si>
    <t xml:space="preserve">Boho material (cotton)</t>
  </si>
  <si>
    <t xml:space="preserve">Keep paused</t>
  </si>
  <si>
    <t xml:space="preserve">Phase 1 material lane (L4). 1 order on 77 clicks.</t>
  </si>
  <si>
    <t xml:space="preserve">-</t>
  </si>
  <si>
    <t xml:space="preserve">73752905509119</t>
  </si>
  <si>
    <t xml:space="preserve">SL-BB-SP-boho blankets and throws-Boho|Blanket|Core-VLSV-Exact-Rank-Fixed-SL-BOHO-BLANKET-BUTTERFLY-50x60-1-PC</t>
  </si>
  <si>
    <t xml:space="preserve">boho blankets and throws</t>
  </si>
  <si>
    <t xml:space="preserve">Phase 0: stop list</t>
  </si>
  <si>
    <t xml:space="preserve">Keep paused (done)</t>
  </si>
  <si>
    <t xml:space="preserve">Stop list item. 0 orders on 72 clicks.</t>
  </si>
  <si>
    <t xml:space="preserve">140892082966699</t>
  </si>
  <si>
    <t xml:space="preserve">SL-BB-SP-boho blanket king-Boho|Blanket|Size-VLSV-Exact-Rank-Fixed-SL-BOHO-BLANKET-BUTTERFLY-60x80-1-PC</t>
  </si>
  <si>
    <t xml:space="preserve">boho blanket king</t>
  </si>
  <si>
    <t xml:space="preserve">Exclude list (king / queen)</t>
  </si>
  <si>
    <t xml:space="preserve">King-size intent is on the pack exclude list. 0 orders on its last 22 clicks; TOS +356%.</t>
  </si>
  <si>
    <t xml:space="preserve">274384612784893</t>
  </si>
  <si>
    <t xml:space="preserve">SL-BB-SP-bohemian blanket-Boho|Blanket|Core-LSV-Exact-Rank-Fixed-SL-BOHO-BLANKET-BUTTERFLY-50x60-1-PC</t>
  </si>
  <si>
    <t xml:space="preserve">bohemian blanket</t>
  </si>
  <si>
    <t xml:space="preserve">Joseph: re-enable at a low bid</t>
  </si>
  <si>
    <t xml:space="preserve">Stop list was built on September data. Since launch it is the best converter: 2 orders on 50 clicks (4.0%).</t>
  </si>
  <si>
    <t xml:space="preserve">136479271696362</t>
  </si>
  <si>
    <t xml:space="preserve">SL-BB-SP-boho throw blanket-Boho|Blanket|Core-MSV-Exact-Rank-Fixed-SL-BOHO-BLANKET-BUTTERFLY-50x60-1-PC</t>
  </si>
  <si>
    <t xml:space="preserve">boho throw blanket</t>
  </si>
  <si>
    <t xml:space="preserve">Joseph decides: hero term, but 0 orders on 44 clicks</t>
  </si>
  <si>
    <t xml:space="preserve">Phase 0 hero term. It already meets the '20+ clicks, 0 orders' negate rule, so the plan contradicts itself. Budget $30 a day.</t>
  </si>
  <si>
    <t xml:space="preserve">153632991648836</t>
  </si>
  <si>
    <t xml:space="preserve">SL-BB-SP-boho cotton blanket-Boho|Blanket|Material-VLSV-Exact-Rank-Fixed-SL-BOHO-BLANKET-BUTTERFLY-50x60-1-PC</t>
  </si>
  <si>
    <t xml:space="preserve">boho cotton blanket</t>
  </si>
  <si>
    <t xml:space="preserve">Phase 1 material lane (L4).</t>
  </si>
  <si>
    <t xml:space="preserve">269303623430005</t>
  </si>
  <si>
    <t xml:space="preserve">SL-BB-SP-throw blanket for couch boho-Boho|Blanket|Core-VLSV-Exact-Rank-Fixed-SL-BOHO-BLANKET-BUTTERFLY-50x60-1-PC</t>
  </si>
  <si>
    <t xml:space="preserve">blanket boho · boho bed throw · boho blankets for bed +2 more keywords</t>
  </si>
  <si>
    <t xml:space="preserve">Not in Phase 0. 1 order on 38 clicks.</t>
  </si>
  <si>
    <t xml:space="preserve">248203141513937</t>
  </si>
  <si>
    <t xml:space="preserve">SL-BB-SP-king size boho blanket-Boho|Blanket|Size-VLSV-Exact-Rank-Fixed-SL-BOHO-BLANKET-BUTTERFLY-60x80-1-PC</t>
  </si>
  <si>
    <t xml:space="preserve">king size boho blanket</t>
  </si>
  <si>
    <t xml:space="preserve">King-size intent is on the exclude list. 0 orders on 23 clicks since launch.</t>
  </si>
  <si>
    <t xml:space="preserve">88375236561649</t>
  </si>
  <si>
    <t xml:space="preserve">SL-BB-SP-boho picnic blanket-Boho|Blanket|Core-MSV-Exact-Rank-Fixed-SL-BOHO-BLANKET-BUTTERFLY-50x60-1-PC</t>
  </si>
  <si>
    <t xml:space="preserve">boho picnic blanket</t>
  </si>
  <si>
    <t xml:space="preserve">Boho off-intent (picnic / beach / heated)</t>
  </si>
  <si>
    <t xml:space="preserve">Stop list item still ENABLED. 0 orders on 18 clicks; TOS +330%; $12.14 budget.</t>
  </si>
  <si>
    <t xml:space="preserve">201568460000366</t>
  </si>
  <si>
    <t xml:space="preserve">SL-BB-SP-boho blanket king size-Boho|Blanket|Size-VLSV-Exact-Rank-Fixed-SL-BOHO-BLANKET-BUTTERFLY-60x80-1-PC</t>
  </si>
  <si>
    <t xml:space="preserve">boho blanket king size</t>
  </si>
  <si>
    <t xml:space="preserve">Exclude list. 0 orders on 24 clicks.</t>
  </si>
  <si>
    <t xml:space="preserve">199196980921698</t>
  </si>
  <si>
    <t xml:space="preserve">SL-BB-SP-boho blanket throw-Boho|Blanket|Core-LSV-Exact-Rank-Fixed-SL-BOHO-BLANKET-BUTTERFLY-50x60-1-PC</t>
  </si>
  <si>
    <t xml:space="preserve">boho blanket throw</t>
  </si>
  <si>
    <t xml:space="preserve">Stop list item. 0 orders on 32 clicks.</t>
  </si>
  <si>
    <t xml:space="preserve">158494562127971</t>
  </si>
  <si>
    <t xml:space="preserve">SL-BB-SP-boho throw blanket for bed-Boho|Blanket|Core-LSV-Exact-Rank-Fixed-SL-BOHO-BLANKET-BUTTERFLY-50x60-1-PC</t>
  </si>
  <si>
    <t xml:space="preserve">boho throw blanket for bed</t>
  </si>
  <si>
    <t xml:space="preserve">Stop list item. 0 orders on 28 clicks. Note: file 05 still lists it in lane L1.</t>
  </si>
  <si>
    <t xml:space="preserve">264225421869119</t>
  </si>
  <si>
    <t xml:space="preserve">SL-BB-SP-B0FRF3JGK9-Exact-Conq-Fixed-SL-BOHO-BLANKET-BOUQUET-60x80-1-PC</t>
  </si>
  <si>
    <t xml:space="preserve">B0FRF3JGK9</t>
  </si>
  <si>
    <t xml:space="preserve">179711585918274</t>
  </si>
  <si>
    <t xml:space="preserve">SL-BB-SP-boho blanket throw colorful-Boho|Blanket|Color-VLSV-Exact-Rank-Fixed-SL-BOHO-BLANKET-BUTTERFLY-50x60-1-PC</t>
  </si>
  <si>
    <t xml:space="preserve">beige boho throw blanket · blue boho blanket · blue boho throw blanket +1 more keywords</t>
  </si>
  <si>
    <t xml:space="preserve">Boho pattern / colour</t>
  </si>
  <si>
    <t xml:space="preserve">Colour terms (beige, blue) do not match the product. 0 orders on 79 clicks.</t>
  </si>
  <si>
    <t xml:space="preserve">20309127916243</t>
  </si>
  <si>
    <t xml:space="preserve">SL-BB-SP-boho blanket queen-Boho|Blanket|Size-LSV-Exact-Rank-Fixed-SL-BOHO-BLANKET-BUTTERFLY-50x60-1-PC</t>
  </si>
  <si>
    <t xml:space="preserve">boho blanket queen</t>
  </si>
  <si>
    <t xml:space="preserve">Stop list item. 0 orders on 18 clicks.</t>
  </si>
  <si>
    <t xml:space="preserve">31470852710316</t>
  </si>
  <si>
    <t xml:space="preserve">SL-BB-SP-boho couch blanket-Boho|Blanket|Core-VLSV-Exact-Rank-Fixed-SL-BOHO-BLANKET-BUTTERFLY-50x60-1-PC</t>
  </si>
  <si>
    <t xml:space="preserve">beach blanket boho · boho couch blanket</t>
  </si>
  <si>
    <t xml:space="preserve">Not in Phase 0 (holds stop-list term)</t>
  </si>
  <si>
    <t xml:space="preserve">Contains the keyword 'beach blanket boho' (stop list). $3.55 CPC in the last 15 days, TOS +360%.</t>
  </si>
  <si>
    <t xml:space="preserve">27058612184707</t>
  </si>
  <si>
    <t xml:space="preserve">SL-BB-SP-boho heated blanket-Boho|Blanket|Core-VLSV-Exact-Rank-Fixed-SL-BOHO-BLANKET-BUTTERFLY-50x60-1-PC</t>
  </si>
  <si>
    <t xml:space="preserve">boho heated blanket</t>
  </si>
  <si>
    <t xml:space="preserve">Stop list item. 0 orders on 43 clicks.</t>
  </si>
  <si>
    <t xml:space="preserve">136043663989806</t>
  </si>
  <si>
    <t xml:space="preserve">SL-BB-SP-B0F542WLD5-Exact-Conq-Fixed-SL-BOHO-BLANKET-BOUQUET-60x80-1-PC</t>
  </si>
  <si>
    <t xml:space="preserve">B0F542WLD5</t>
  </si>
  <si>
    <t xml:space="preserve">Phase 1 lane (L9). Revisit at keyword-parity bids after the rebuild.</t>
  </si>
  <si>
    <t xml:space="preserve">227544042687099</t>
  </si>
  <si>
    <t xml:space="preserve">SL-BB-SP-B0F9WSBG6B-Exact-Conq-Fixed-SL-BOHO-BLANKET-BOUQUET-60x80-1-PC</t>
  </si>
  <si>
    <t xml:space="preserve">B0F9WSBG6B</t>
  </si>
  <si>
    <t xml:space="preserve">198006936823591</t>
  </si>
  <si>
    <t xml:space="preserve">SL-BB-SP-B0DHKTZTMN-Exact-Conq-Fixed-SL-BOHO-BLANKET-BOUQUET-60x80-1-PC</t>
  </si>
  <si>
    <t xml:space="preserve">B0DHKTZTMN</t>
  </si>
  <si>
    <t xml:space="preserve">Phase 1 lane (L9). Revisit at keyword-parity bids after the rebuild. Bailix (supplier's own brand).</t>
  </si>
  <si>
    <t xml:space="preserve">4619427091358</t>
  </si>
  <si>
    <t xml:space="preserve">SL-BB-SP-boho cotton blankets queen size-Boho|Blanket|Size-VLSV-Exact-Rank-Fixed-SL-BOHO-BLANKET-BUTTERFLY-50x60-1-PC</t>
  </si>
  <si>
    <t xml:space="preserve">boho cotton blankets queen size</t>
  </si>
  <si>
    <t xml:space="preserve">Queen-size intent is on the exclude list. 0 orders; TOS +380%.</t>
  </si>
  <si>
    <t xml:space="preserve">145716739151597</t>
  </si>
  <si>
    <t xml:space="preserve">SL-BB-SP-boho king blanket-Boho|Blanket|Size-VLSV-Exact-Rank-Fixed-SL-BOHO-BLANKET-BUTTERFLY-60x80-1-PC</t>
  </si>
  <si>
    <t xml:space="preserve">boho king blanket</t>
  </si>
  <si>
    <t xml:space="preserve">King-size intent is on the exclude list. 0 orders on 12 clicks.</t>
  </si>
  <si>
    <t xml:space="preserve">122105077616953</t>
  </si>
  <si>
    <t xml:space="preserve">SL-BB-SP-rustic floral boho blanket-Boho|Blanket|Pattern-VLSV-Exact-Rank-Fixed-SL-BOHO-BLANKET-BOUQUET-50x60-1-PC</t>
  </si>
  <si>
    <t xml:space="preserve">boho floral cotton blankets · rustic floral boho blanket</t>
  </si>
  <si>
    <t xml:space="preserve">SL-BOHO-BLANKET-BOUQUET-50x60-1-PC</t>
  </si>
  <si>
    <t xml:space="preserve">Pause now; revisit in Phase 1 (L2 design)</t>
  </si>
  <si>
    <t xml:space="preserve">1 order on 7 clicks since launch: too little data to judge. Phase 1 design lane.</t>
  </si>
  <si>
    <t xml:space="preserve">40188236585691</t>
  </si>
  <si>
    <t xml:space="preserve">SL-BB-SP-B0D4HQ4B6Y-Exact-Conq-Fixed-SL-BOHO-BLANKET-BOUQUET-60x80-1-PC</t>
  </si>
  <si>
    <t xml:space="preserve">B0D4HQ4B6Y</t>
  </si>
  <si>
    <t xml:space="preserve">10400641750207</t>
  </si>
  <si>
    <t xml:space="preserve">SL-BB-SP-B0DRFZ787F-Exact-Conq-Fixed-SL-BOHO-BLANKET-BOUQUET-60x80-1-PC</t>
  </si>
  <si>
    <t xml:space="preserve">B0DRFZ787F</t>
  </si>
  <si>
    <t xml:space="preserve">216012309710462</t>
  </si>
  <si>
    <t xml:space="preserve">SL-BB-SP-throw blankets for bed boho-Boho|Blanket|Core-VLSV-Exact-Rank-Fixed-SL-BOHO-BLANKET-BUTTERFLY-50x60-1-PC</t>
  </si>
  <si>
    <t xml:space="preserve">throw blankets for bed boho</t>
  </si>
  <si>
    <t xml:space="preserve">Phase 1 lane. 0 orders since launch. TOS +380%.</t>
  </si>
  <si>
    <t xml:space="preserve">85219022747841</t>
  </si>
  <si>
    <t xml:space="preserve">SL-BB-SP-B0DS28Q1LT-Exact-Conq-Fixed-SL-BOHO-BLANKET-BOUQUET-60x80-1-PC</t>
  </si>
  <si>
    <t xml:space="preserve">B0DS28Q1LT</t>
  </si>
  <si>
    <t xml:space="preserve">64445529912580</t>
  </si>
  <si>
    <t xml:space="preserve">SL-BB-SP-boho beach blanket-Boho|Blanket|Core-LSV-Exact-Rank-Fixed-SL-BOHO-BLANKET-BUTTERFLY-50x60-1-PC</t>
  </si>
  <si>
    <t xml:space="preserve">boho beach blanket</t>
  </si>
  <si>
    <t xml:space="preserve">Stop list item still ENABLED. TOS +440%, the highest on the product.</t>
  </si>
  <si>
    <t xml:space="preserve">132877072716330</t>
  </si>
  <si>
    <t xml:space="preserve">SL-BB-SP-B0B5XX22J6-Exact-Conq-Fixed-SL-BOHO-BLANKET-BOUQUET-60x80-1-PC</t>
  </si>
  <si>
    <t xml:space="preserve">B0B5XX22J6</t>
  </si>
  <si>
    <t xml:space="preserve">37588435988821</t>
  </si>
  <si>
    <t xml:space="preserve">SL-BB-SP-boho blanket throw patterned-Boho|Blanket|Pattern-VLSV-Exact-Rank-Fixed-SL-BOHO-BLANKET-BUTTERFLY-50x60-1-PC</t>
  </si>
  <si>
    <t xml:space="preserve">boho blanket throw patterned · boho reversible throw blanket · reversible boho blanket with patterns</t>
  </si>
  <si>
    <t xml:space="preserve">Phase 1 lane; 0 orders; TOS +380%.</t>
  </si>
  <si>
    <t xml:space="preserve">94080520861158</t>
  </si>
  <si>
    <t xml:space="preserve">SL-BB-SP-sleephoria boho throw blanket-Branded Keyword-VLSV-Exact-Branded-Fixed-SL-BOHO-BLANKET-BUTTERFLY-50x60-1-PC</t>
  </si>
  <si>
    <t xml:space="preserve">boho throw blanket sleephoria · sleephoria boho throw blanket</t>
  </si>
  <si>
    <t xml:space="preserve">Brand defence</t>
  </si>
  <si>
    <t xml:space="preserve">Keep on; cut TOS modifier to +300%</t>
  </si>
  <si>
    <t xml:space="preserve">Brand defence is in Phase 0. Modifier is +380%, above the +300% Phase 0 cap. Very low volume (16 impressions in 15 days).</t>
  </si>
  <si>
    <t xml:space="preserve">61013504041994</t>
  </si>
  <si>
    <t xml:space="preserve">SL-BB-SP-B0G2RBNQ2X-Exact-Conq-Fixed-SL-BOHO-BLANKET-BOUQUET-60x80-1-PC</t>
  </si>
  <si>
    <t xml:space="preserve">B0G2RBNQ2X</t>
  </si>
  <si>
    <t xml:space="preserve">194745831752971</t>
  </si>
  <si>
    <t xml:space="preserve">SL-BB-SP-boho cotton throw blanket no fringe-Boho|Blanket|Material-VLSV-Exact-Rank-Fixed-SL-BOHO-BLANKET-BUTTERFLY-50x60-1-PC</t>
  </si>
  <si>
    <t xml:space="preserve">boho cotton throw blanket no fringe</t>
  </si>
  <si>
    <t xml:space="preserve">Phase 1 lane; near-zero volume; TOS +380%.</t>
  </si>
  <si>
    <t xml:space="preserve">TOTAL (all 40 campaigns)</t>
  </si>
  <si>
    <t xml:space="preserve">Where the money goes: spend, clicks and orders by keyword family</t>
  </si>
  <si>
    <t xml:space="preserve">All figures are SUMIFS over the Campaigns tab.</t>
  </si>
  <si>
    <t xml:space="preserve">Campaigns</t>
  </si>
  <si>
    <t xml:space="preserve">Enabled now</t>
  </si>
  <si>
    <t xml:space="preserve">Enabled daily budget</t>
  </si>
  <si>
    <t xml:space="preserve">Since launch: spend</t>
  </si>
  <si>
    <t xml:space="preserve">Since launch: clicks</t>
  </si>
  <si>
    <t xml:space="preserve">Since launch: orders</t>
  </si>
  <si>
    <t xml:space="preserve">Since launch: CVR</t>
  </si>
  <si>
    <t xml:space="preserve">Since launch: ACoS</t>
  </si>
  <si>
    <t xml:space="preserve">Last 30d: spend</t>
  </si>
  <si>
    <t xml:space="preserve">Last 30d: orders</t>
  </si>
  <si>
    <t xml:space="preserve">Last 15d: spend</t>
  </si>
  <si>
    <t xml:space="preserve">Last 15d: clicks</t>
  </si>
  <si>
    <t xml:space="preserve">Last 15d: orders</t>
  </si>
  <si>
    <t xml:space="preserve">Share of last 15d spend</t>
  </si>
  <si>
    <t xml:space="preserve">TOTAL</t>
  </si>
  <si>
    <t xml:space="preserve">By Phase 0 plan status</t>
  </si>
  <si>
    <t xml:space="preserve">Plan status</t>
  </si>
  <si>
    <t xml:space="preserve">Placement split: where clicks, spend and orders came from</t>
  </si>
  <si>
    <t xml:space="preserve">Clicks and spend are SUMs over the Campaigns tab. Orders by placement: Amazon reports them per campaign for on-Amazon placements; Off-Amazon orders are not reported and are shown as total orders minus on-Amazon orders (implied).</t>
  </si>
  <si>
    <t xml:space="preserve">Placement (since launch)</t>
  </si>
  <si>
    <t xml:space="preserve">Share of spend</t>
  </si>
  <si>
    <t xml:space="preserve">Read</t>
  </si>
  <si>
    <t xml:space="preserve">Top of Search</t>
  </si>
  <si>
    <t xml:space="preserve">Most orders per click. This is where Phase 0 should put its money.</t>
  </si>
  <si>
    <t xml:space="preserve">Product pages</t>
  </si>
  <si>
    <t xml:space="preserve">Most clicks on Amazon, few orders. Lower base bids to cut this.</t>
  </si>
  <si>
    <t xml:space="preserve">Rest of Search</t>
  </si>
  <si>
    <t xml:space="preserve">Small.</t>
  </si>
  <si>
    <t xml:space="preserve">Off-Amazon</t>
  </si>
  <si>
    <t xml:space="preserve">Half of all orders, at about $0.20 a click. 0 clicks in the last 30 days.</t>
  </si>
  <si>
    <t xml:space="preserve">What changed in late September</t>
  </si>
  <si>
    <t xml:space="preserve">Every Off-Amazon click came before 23 Sep. Since then the product buys only on-Amazon clicks, cost per click doubled (about $0.53 since launch vs $1.10 in the last 15 days) and orders fell to about one a week. The 'converting long tail' in the Phase 0 plan (boho king size blanket at about $0.20 a click) was this Off-Amazon traffic: 1,027 of its 1,063 clicks. Ask Joseph whether the Off-Amazon placement was switched off or simply stopped serving.</t>
  </si>
  <si>
    <t xml:space="preserve">Stop list check: 9 terms in the pack, status on 22 Oct</t>
  </si>
  <si>
    <t xml:space="preserve">State and metrics are looked up from the Campaigns tab by campaign ID.</t>
  </si>
  <si>
    <t xml:space="preserve">Stop-list term</t>
  </si>
  <si>
    <t xml:space="preserve">Pack evidence (to 9 Sep)</t>
  </si>
  <si>
    <t xml:space="preserve">State now</t>
  </si>
  <si>
    <t xml:space="preserve">Clicks since launch</t>
  </si>
  <si>
    <t xml:space="preserve">Orders since launch</t>
  </si>
  <si>
    <t xml:space="preserve">Spend since launch</t>
  </si>
  <si>
    <t xml:space="preserve">CVR since launch</t>
  </si>
  <si>
    <t xml:space="preserve">Status</t>
  </si>
  <si>
    <t xml:space="preserve">Comment</t>
  </si>
  <si>
    <t xml:space="preserve">$41.63, 0 orders</t>
  </si>
  <si>
    <t xml:space="preserve">Also listed as a Phase 0 core term. Keep paused; take it off the core list.</t>
  </si>
  <si>
    <t xml:space="preserve">$20.83, 0 orders</t>
  </si>
  <si>
    <t xml:space="preserve">$14.47, 0 orders</t>
  </si>
  <si>
    <t xml:space="preserve">$8.31, 0 orders</t>
  </si>
  <si>
    <t xml:space="preserve">$7.55, 0 orders</t>
  </si>
  <si>
    <t xml:space="preserve">Full data says the opposite: 4.0% CVR, the best on the product. Ask Joseph to re-enable at a low bid.</t>
  </si>
  <si>
    <t xml:space="preserve">$7.40, 0 orders</t>
  </si>
  <si>
    <t xml:space="preserve">Pack file 05 still lists it in lane L1. Remove it there.</t>
  </si>
  <si>
    <t xml:space="preserve">Wrong product</t>
  </si>
  <si>
    <t xml:space="preserve">Still running. Pause.</t>
  </si>
  <si>
    <t xml:space="preserve">beach blanket boho (keyword inside 'boho couch blanket')</t>
  </si>
  <si>
    <t xml:space="preserve">Not a campaign of its own. Pause the whole campaign (also $3.55 CPC).</t>
  </si>
  <si>
    <t xml:space="preserve">Counts the 9 pack terms; the last row is a keyword inside another campaign.</t>
  </si>
  <si>
    <t xml:space="preserve">Phase 0 hold: what the plan says vs what is live on 22 Oct</t>
  </si>
  <si>
    <t xml:space="preserve">Phase 0 element</t>
  </si>
  <si>
    <t xml:space="preserve">Plan says</t>
  </si>
  <si>
    <t xml:space="preserve">What is live</t>
  </si>
  <si>
    <t xml:space="preserve">Live value</t>
  </si>
  <si>
    <t xml:space="preserve">Gap</t>
  </si>
  <si>
    <t xml:space="preserve">Owner</t>
  </si>
  <si>
    <t xml:space="preserve">Spend cap</t>
  </si>
  <si>
    <t xml:space="preserve">$25 a day, $175 a week</t>
  </si>
  <si>
    <t xml:space="preserve">Sum of daily budgets on enabled campaigns</t>
  </si>
  <si>
    <t xml:space="preserve">Cap not set anywhere. Spend stays near $16 a day only because campaigns under-deliver.</t>
  </si>
  <si>
    <t xml:space="preserve">Put a portfolio budget cap on 'SLEEPHORIA - Boho Blanket' ($25 a day or a date-range cap to 5 Nov)</t>
  </si>
  <si>
    <t xml:space="preserve">Shayan, with Joseph</t>
  </si>
  <si>
    <t xml:space="preserve">Actual spend</t>
  </si>
  <si>
    <t xml:space="preserve">Within $175 a week</t>
  </si>
  <si>
    <t xml:space="preserve">Last 15 days spend per day</t>
  </si>
  <si>
    <t xml:space="preserve">Within the cap today, but 0 orders in the last 7 days.</t>
  </si>
  <si>
    <t xml:space="preserve">Keep watching weekly spend vs $175</t>
  </si>
  <si>
    <t xml:space="preserve">Brand defence at 100% impression share</t>
  </si>
  <si>
    <t xml:space="preserve">Run</t>
  </si>
  <si>
    <t xml:space="preserve">sleephoria boho throw blanket: state</t>
  </si>
  <si>
    <t xml:space="preserve">Running; TOS +380% is above the +300% cap. Impression share not reported (very low volume).</t>
  </si>
  <si>
    <t xml:space="preserve">Cut TOS modifier to +300%</t>
  </si>
  <si>
    <t xml:space="preserve">L1 boho core exact (5 terms) at $0.45 to $0.50 base</t>
  </si>
  <si>
    <t xml:space="preserve">Run all 5</t>
  </si>
  <si>
    <t xml:space="preserve">Boho core exact terms enabled</t>
  </si>
  <si>
    <t xml:space="preserve">Only 'bohemian throw blanket' is on. boho throw blanket, boho blanket, boho throw and throw blanket boho are paused.</t>
  </si>
  <si>
    <t xml:space="preserve">Joseph decides which to re-enable (see Joseph Decisions tab)</t>
  </si>
  <si>
    <t xml:space="preserve">TOS modifier max +300%</t>
  </si>
  <si>
    <t xml:space="preserve">No campaign above +300%</t>
  </si>
  <si>
    <t xml:space="preserve">Enabled campaigns above +300%</t>
  </si>
  <si>
    <t xml:space="preserve">Ten enabled campaigns run +330% to +440%.</t>
  </si>
  <si>
    <t xml:space="preserve">Most are being paused; set brand defence to +300%</t>
  </si>
  <si>
    <t xml:space="preserve">Converting long tail ('boho king size blanket' class, CPC under $0.25)</t>
  </si>
  <si>
    <t xml:space="preserve">boho king size blanket: CPC last 30 days</t>
  </si>
  <si>
    <t xml:space="preserve">CPC now about $1.22, 0 orders in 30 days. The cheap clicks were Off-Amazon and stopped in late September.</t>
  </si>
  <si>
    <t xml:space="preserve">Joseph: pause, or reset to $0.20 base with no TOS boost</t>
  </si>
  <si>
    <t xml:space="preserve">Rest of Search kept; product pages bid down</t>
  </si>
  <si>
    <t xml:space="preserve">Product pages bid down</t>
  </si>
  <si>
    <t xml:space="preserve">Product-page spend, last 15 days</t>
  </si>
  <si>
    <t xml:space="preserve">Product pages took about a third of spend and 0 orders in the last 15 days.</t>
  </si>
  <si>
    <t xml:space="preserve">Lower base bids where TOS converts (e.g. bohemian throw blanket $0.52 to $0.45, TOS to +300%)</t>
  </si>
  <si>
    <t xml:space="preserve">Everything else</t>
  </si>
  <si>
    <t xml:space="preserve">Off (stop list held, Batch 2 held)</t>
  </si>
  <si>
    <t xml:space="preserve">Enabled campaigns not in Phase 0</t>
  </si>
  <si>
    <t xml:space="preserve">Competitor PAT, king and queen size, couch, pattern and two stop-list campaigns are still on.</t>
  </si>
  <si>
    <t xml:space="preserve">Pause per the Campaigns tab ('Pause now' rows)</t>
  </si>
  <si>
    <t xml:space="preserve">Decisions for Joseph (pauses or re-enables of boho core terms need his call)</t>
  </si>
  <si>
    <t xml:space="preserve">#</t>
  </si>
  <si>
    <t xml:space="preserve">ACoS since launch</t>
  </si>
  <si>
    <t xml:space="preserve">Suggestion</t>
  </si>
  <si>
    <t xml:space="preserve">Decision</t>
  </si>
  <si>
    <t xml:space="preserve">Date</t>
  </si>
  <si>
    <t xml:space="preserve">Re-enable at $0.45 to $0.50, TOS up to +300%, budget $5</t>
  </si>
  <si>
    <t xml:space="preserve">Only at a low bid, budget cut from $40 to $5; or keep paused (under 2% CVR)</t>
  </si>
  <si>
    <t xml:space="preserve">Run (hero term)</t>
  </si>
  <si>
    <t xml:space="preserve">Joseph's call: plan says run, but it meets the 20+ clicks, 0 orders rule</t>
  </si>
  <si>
    <t xml:space="preserve">Run AND stop</t>
  </si>
  <si>
    <t xml:space="preserve">Stop</t>
  </si>
  <si>
    <t xml:space="preserve">Re-enable at a low bid: best CVR on the product</t>
  </si>
  <si>
    <t xml:space="preserve">boho king size blanket</t>
  </si>
  <si>
    <t xml:space="preserve">Run (long tail)</t>
  </si>
  <si>
    <t xml:space="preserve">Pause, or $0.20 base, TOS +0%, budget $3</t>
  </si>
  <si>
    <t xml:space="preserve">Not in PDF Phase 0; L1 in pack file 05</t>
  </si>
  <si>
    <t xml:space="preserve">Pause (1.05% CVR on 476 clicks)</t>
  </si>
  <si>
    <t xml:space="preserve">Fill in the yellow Decision and Date cells after Joseph decides. Example: Decision 'Re-enable at $0.45, TOS +300%', Date '23 Oct'.</t>
  </si>
  <si>
    <t xml:space="preserve">Rules, thresholds and unit economics used by the checks</t>
  </si>
  <si>
    <t xml:space="preserve">Blue values are inputs from the boho decision pack (19 Oct 2026). Change them here and every check in the workbook updates.</t>
  </si>
  <si>
    <t xml:space="preserve">Item</t>
  </si>
  <si>
    <t xml:space="preserve">Value</t>
  </si>
  <si>
    <t xml:space="preserve">Source / note</t>
  </si>
  <si>
    <t xml:space="preserve">Phase 0 daily spend cap</t>
  </si>
  <si>
    <t xml:space="preserve">Pack file 12, Phase 0 Hold: $25 a day</t>
  </si>
  <si>
    <t xml:space="preserve">Phase 0 weekly spend cap (D4 ceiling)</t>
  </si>
  <si>
    <t xml:space="preserve">Pack file 12 and decision D4: $175 a week until the rebuild is live</t>
  </si>
  <si>
    <t xml:space="preserve">Phase 0 base bid, low</t>
  </si>
  <si>
    <t xml:space="preserve">Pack file 12: L1 boho core exact at $0.45 to $0.50 base</t>
  </si>
  <si>
    <t xml:space="preserve">Phase 0 base bid, high</t>
  </si>
  <si>
    <t xml:space="preserve">Pack file 12</t>
  </si>
  <si>
    <t xml:space="preserve">Max Top of Search modifier</t>
  </si>
  <si>
    <t xml:space="preserve">Pack file 12: TOS max +300%</t>
  </si>
  <si>
    <t xml:space="preserve">Negate rule: clicks with 0 orders</t>
  </si>
  <si>
    <t xml:space="preserve">Pack file 12: any term with 20+ clicks and 0 orders goes negative exact</t>
  </si>
  <si>
    <t xml:space="preserve">Lane read: clicks before judging CVR</t>
  </si>
  <si>
    <t xml:space="preserve">Pack file 12: decision rules apply after 100 clicks</t>
  </si>
  <si>
    <t xml:space="preserve">Keep and scale at CVR of at least</t>
  </si>
  <si>
    <t xml:space="preserve">Pack file 12: 4% or more, keep</t>
  </si>
  <si>
    <t xml:space="preserve">Hold at lower bid at CVR of at least</t>
  </si>
  <si>
    <t xml:space="preserve">Pack file 12: 2% to 4% hold; under 2% pause</t>
  </si>
  <si>
    <t xml:space="preserve">Pause when ACoS exceeds break-even by</t>
  </si>
  <si>
    <t xml:space="preserve">Pack file 12: lane ACoS above 3x break-even after 100 clicks, pause</t>
  </si>
  <si>
    <t xml:space="preserve">Price, 50x60</t>
  </si>
  <si>
    <t xml:space="preserve">Live page 19 Oct (pack file 01)</t>
  </si>
  <si>
    <t xml:space="preserve">Price, 60x80</t>
  </si>
  <si>
    <t xml:space="preserve">Contribution per unit, 50x60 (before ads)</t>
  </si>
  <si>
    <t xml:space="preserve">Pack file 08, ESTIMATE until D8 landed-cost reconciliation</t>
  </si>
  <si>
    <t xml:space="preserve">Contribution per unit, 60x80 (before ads)</t>
  </si>
  <si>
    <t xml:space="preserve">Pack file 08, ESTIMATE until D8</t>
  </si>
  <si>
    <t xml:space="preserve">Derived (formulas)</t>
  </si>
  <si>
    <t xml:space="preserve">Break-even ACoS, 50x60</t>
  </si>
  <si>
    <t xml:space="preserve">Contribution / price</t>
  </si>
  <si>
    <t xml:space="preserve">Break-even ACoS, 60x80</t>
  </si>
  <si>
    <t xml:space="preserve">Break-even ACoS used in checks</t>
  </si>
  <si>
    <t xml:space="preserve">Average of the two sizes</t>
  </si>
  <si>
    <t xml:space="preserve">ACoS pause line (3x break-even)</t>
  </si>
  <si>
    <t xml:space="preserve">Used by the 'ACoS check' column</t>
  </si>
  <si>
    <t xml:space="preserve">Max CPC that breaks even at 1% CVR, 50x60</t>
  </si>
  <si>
    <t xml:space="preserve">Contribution x CVR; 1% is today's conversion</t>
  </si>
  <si>
    <t xml:space="preserve">Max CPC that breaks even at 1% CVR, 60x80</t>
  </si>
  <si>
    <t xml:space="preserve">Contribution x CVR</t>
  </si>
  <si>
    <t xml:space="preserve">CVR needed to break even at last-15-day CPC, 50x60</t>
  </si>
  <si>
    <t xml:space="preserve">CPC / contribution</t>
  </si>
  <si>
    <t xml:space="preserve">CVR needed to break even at last-15-day CPC, 60x80</t>
  </si>
  <si>
    <t xml:space="preserve">Note: contribution uses off-peak storage ($0.20 a unit). Peak storage (1 Oct to 31 Dec, $2.40 per cu ft) is about $0.62 a unit, so Q4 contribution is closer to $3.02 and $3.95 and break-even ACoS about 11%.</t>
  </si>
</sst>
</file>

<file path=xl/styles.xml><?xml version="1.0" encoding="utf-8"?>
<styleSheet xmlns="http://schemas.openxmlformats.org/spreadsheetml/2006/main">
  <numFmts count="9">
    <numFmt numFmtId="164" formatCode="General"/>
    <numFmt numFmtId="165" formatCode="\$#,##0.00;&quot;($&quot;#,##0.00\);\-"/>
    <numFmt numFmtId="166" formatCode="#,##0;\(#,##0\);\-"/>
    <numFmt numFmtId="167" formatCode="0.0%;\(0.0%\);\-"/>
    <numFmt numFmtId="168" formatCode="@"/>
    <numFmt numFmtId="169" formatCode="0%"/>
    <numFmt numFmtId="170" formatCode="0.00"/>
    <numFmt numFmtId="171" formatCode="\$#,##0;&quot;($&quot;#,##0\);\-"/>
    <numFmt numFmtId="172" formatCode="0.0\x"/>
  </numFmts>
  <fonts count="14">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595959"/>
      <name val="Arial"/>
      <family val="0"/>
      <charset val="1"/>
    </font>
    <font>
      <b val="true"/>
      <sz val="12"/>
      <name val="Arial"/>
      <family val="0"/>
      <charset val="1"/>
    </font>
    <font>
      <sz val="10"/>
      <name val="Arial"/>
      <family val="0"/>
      <charset val="1"/>
    </font>
    <font>
      <b val="true"/>
      <sz val="10"/>
      <color rgb="FFFFFFFF"/>
      <name val="Arial"/>
      <family val="0"/>
      <charset val="1"/>
    </font>
    <font>
      <b val="true"/>
      <sz val="10"/>
      <name val="Arial"/>
      <family val="0"/>
      <charset val="1"/>
    </font>
    <font>
      <b val="true"/>
      <sz val="14"/>
      <name val="Arial"/>
      <family val="0"/>
      <charset val="1"/>
    </font>
    <font>
      <i val="true"/>
      <sz val="10"/>
      <color rgb="FF595959"/>
      <name val="Arial"/>
      <family val="0"/>
      <charset val="1"/>
    </font>
    <font>
      <sz val="10"/>
      <name val="Arial"/>
      <family val="2"/>
    </font>
    <font>
      <sz val="10"/>
      <color rgb="FF0000FF"/>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1F2"/>
        <bgColor rgb="FFF2F2F2"/>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fals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7" fontId="7" fillId="0" borderId="1" xfId="0" applyFont="true" applyBorder="true" applyAlignment="true" applyProtection="false">
      <alignment horizontal="right"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9" fontId="9" fillId="5" borderId="1" xfId="0" applyFont="true" applyBorder="true" applyAlignment="false" applyProtection="false">
      <alignment horizontal="general" vertical="bottom" textRotation="0" wrapText="false" indent="0" shrinkToFit="false"/>
      <protection locked="true" hidden="false"/>
    </xf>
    <xf numFmtId="166" fontId="9" fillId="5" borderId="1" xfId="0" applyFont="true" applyBorder="true" applyAlignment="false" applyProtection="false">
      <alignment horizontal="general" vertical="bottom" textRotation="0" wrapText="false" indent="0" shrinkToFit="false"/>
      <protection locked="true" hidden="false"/>
    </xf>
    <xf numFmtId="167" fontId="9" fillId="5" borderId="1" xfId="0" applyFont="true" applyBorder="true" applyAlignment="false" applyProtection="false">
      <alignment horizontal="general" vertical="bottom" textRotation="0" wrapText="false" indent="0" shrinkToFit="false"/>
      <protection locked="true" hidden="false"/>
    </xf>
    <xf numFmtId="170" fontId="9"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72" fontId="13"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fgColor rgb="FFD9E1F2"/>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FFFF00"/>
          <bgColor rgb="FF000000"/>
        </patternFill>
      </fill>
    </dxf>
    <dxf>
      <fill>
        <patternFill>
          <bgColor rgb="FFF8CBAD"/>
        </patternFill>
      </fill>
    </dxf>
    <dxf>
      <fill>
        <patternFill>
          <bgColor rgb="FFFFE699"/>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8CBAD"/>
      <rgbColor rgb="FF2E75B6"/>
      <rgbColor rgb="FF33CCCC"/>
      <rgbColor rgb="FF99CC00"/>
      <rgbColor rgb="FFFFC0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22"/>
    <col collapsed="false" customWidth="true" hidden="false" outlineLevel="0" max="5" min="5" style="0" width="46"/>
    <col collapsed="false" customWidth="true" hidden="false" outlineLevel="0" max="8" min="6" style="0" width="1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4"/>
      <c r="C5" s="4"/>
      <c r="D5" s="4"/>
      <c r="E5" s="4"/>
      <c r="F5" s="4"/>
      <c r="G5" s="4"/>
      <c r="H5" s="4"/>
    </row>
    <row r="7" customFormat="false" ht="15" hidden="false" customHeight="false" outlineLevel="0" collapsed="false">
      <c r="A7" s="3" t="s">
        <v>4</v>
      </c>
    </row>
    <row r="8" customFormat="false" ht="57.75" hidden="false" customHeight="true" outlineLevel="0" collapsed="false">
      <c r="A8" s="4" t="s">
        <v>5</v>
      </c>
      <c r="B8" s="4"/>
      <c r="C8" s="4"/>
      <c r="D8" s="4"/>
      <c r="E8" s="4"/>
      <c r="F8" s="4"/>
      <c r="G8" s="4"/>
      <c r="H8" s="4"/>
    </row>
    <row r="10" customFormat="false" ht="15" hidden="false" customHeight="false" outlineLevel="0" collapsed="false">
      <c r="A10" s="3" t="s">
        <v>6</v>
      </c>
    </row>
    <row r="11" customFormat="false" ht="30" hidden="false" customHeight="true" outlineLevel="0" collapsed="false">
      <c r="A11" s="5" t="s">
        <v>7</v>
      </c>
      <c r="B11" s="5" t="s">
        <v>8</v>
      </c>
      <c r="C11" s="5" t="s">
        <v>9</v>
      </c>
      <c r="D11" s="5" t="s">
        <v>10</v>
      </c>
      <c r="E11" s="5" t="s">
        <v>11</v>
      </c>
    </row>
    <row r="12" customFormat="false" ht="15" hidden="false" customHeight="false" outlineLevel="0" collapsed="false">
      <c r="A12" s="6" t="s">
        <v>12</v>
      </c>
      <c r="B12" s="7" t="n">
        <f aca="false">Campaigns!O46</f>
        <v>1648.02</v>
      </c>
      <c r="C12" s="7" t="n">
        <f aca="false">Campaigns!AD46</f>
        <v>236.54</v>
      </c>
      <c r="D12" s="7" t="n">
        <f aca="false">Campaigns!X46</f>
        <v>487.49</v>
      </c>
      <c r="E12" s="8"/>
    </row>
    <row r="13" customFormat="false" ht="15" hidden="false" customHeight="false" outlineLevel="0" collapsed="false">
      <c r="A13" s="6" t="s">
        <v>13</v>
      </c>
      <c r="B13" s="9" t="n">
        <f aca="false">Campaigns!N46</f>
        <v>3093</v>
      </c>
      <c r="C13" s="9" t="n">
        <f aca="false">Campaigns!AC46</f>
        <v>215</v>
      </c>
      <c r="D13" s="9" t="n">
        <f aca="false">Campaigns!W46</f>
        <v>486</v>
      </c>
      <c r="E13" s="8"/>
    </row>
    <row r="14" customFormat="false" ht="15" hidden="false" customHeight="false" outlineLevel="0" collapsed="false">
      <c r="A14" s="6" t="s">
        <v>14</v>
      </c>
      <c r="B14" s="9" t="n">
        <f aca="false">Campaigns!P46</f>
        <v>34</v>
      </c>
      <c r="C14" s="9" t="n">
        <f aca="false">Campaigns!AE46</f>
        <v>2</v>
      </c>
      <c r="D14" s="9" t="n">
        <f aca="false">Campaigns!Y46</f>
        <v>4</v>
      </c>
      <c r="E14" s="8" t="s">
        <v>15</v>
      </c>
    </row>
    <row r="15" customFormat="false" ht="15" hidden="false" customHeight="false" outlineLevel="0" collapsed="false">
      <c r="A15" s="6" t="s">
        <v>16</v>
      </c>
      <c r="B15" s="7" t="n">
        <f aca="false">IF(B13=0,0,B12/B13)</f>
        <v>0.53282250242483</v>
      </c>
      <c r="C15" s="7" t="n">
        <f aca="false">IF(C13=0,0,C12/C13)</f>
        <v>1.10018604651163</v>
      </c>
      <c r="D15" s="7" t="n">
        <f aca="false">IF(D13=0,0,D12/D13)</f>
        <v>1.0030658436214</v>
      </c>
      <c r="E15" s="8" t="s">
        <v>17</v>
      </c>
    </row>
    <row r="16" customFormat="false" ht="15" hidden="false" customHeight="false" outlineLevel="0" collapsed="false">
      <c r="A16" s="6" t="s">
        <v>18</v>
      </c>
      <c r="B16" s="7" t="n">
        <f aca="false">Campaigns!Q46</f>
        <v>1072.65</v>
      </c>
      <c r="C16" s="7" t="n">
        <f aca="false">Campaigns!AF46</f>
        <v>69.98</v>
      </c>
      <c r="D16" s="7" t="n">
        <f aca="false">Campaigns!Z46</f>
        <v>131.96</v>
      </c>
      <c r="E16" s="8"/>
    </row>
    <row r="17" customFormat="false" ht="15" hidden="false" customHeight="false" outlineLevel="0" collapsed="false">
      <c r="A17" s="6" t="s">
        <v>19</v>
      </c>
      <c r="B17" s="10" t="n">
        <f aca="false">IF(B13=0,0,B14/B13)</f>
        <v>0.0109925638538636</v>
      </c>
      <c r="C17" s="10" t="n">
        <f aca="false">IF(C13=0,0,C14/C13)</f>
        <v>0.00930232558139535</v>
      </c>
      <c r="D17" s="10" t="n">
        <f aca="false">IF(D13=0,0,D14/D13)</f>
        <v>0.00823045267489712</v>
      </c>
      <c r="E17" s="8" t="s">
        <v>20</v>
      </c>
    </row>
    <row r="18" customFormat="false" ht="15" hidden="false" customHeight="false" outlineLevel="0" collapsed="false">
      <c r="A18" s="6" t="s">
        <v>21</v>
      </c>
      <c r="B18" s="10" t="n">
        <f aca="false">IF(B16=0,"",B12/B16)</f>
        <v>1.53640050342609</v>
      </c>
      <c r="C18" s="10" t="n">
        <f aca="false">IF(C16=0,"",C12/C16)</f>
        <v>3.38010860245785</v>
      </c>
      <c r="D18" s="10" t="n">
        <f aca="false">IF(D16=0,"",D12/D16)</f>
        <v>3.69422552288572</v>
      </c>
      <c r="E18" s="8" t="s">
        <v>22</v>
      </c>
    </row>
    <row r="19" customFormat="false" ht="15" hidden="false" customHeight="false" outlineLevel="0" collapsed="false">
      <c r="A19" s="6" t="s">
        <v>23</v>
      </c>
      <c r="B19" s="7" t="n">
        <f aca="false">IF(B14=0,0,B12/B14)</f>
        <v>48.4711764705882</v>
      </c>
      <c r="C19" s="7" t="n">
        <f aca="false">IF(C14=0,0,C12/C14)</f>
        <v>118.27</v>
      </c>
      <c r="D19" s="7" t="n">
        <f aca="false">IF(D14=0,0,D12/D14)</f>
        <v>121.8725</v>
      </c>
      <c r="E19" s="8" t="s">
        <v>24</v>
      </c>
    </row>
    <row r="20" customFormat="false" ht="15" hidden="false" customHeight="false" outlineLevel="0" collapsed="false">
      <c r="A20" s="6" t="s">
        <v>25</v>
      </c>
      <c r="B20" s="11" t="str">
        <f aca="false">COUNTIF(Campaigns!$H$6:$H$45,"ENABLED")&amp;" of "&amp;COUNTA(Campaigns!$A$6:$A$45)</f>
        <v>22 of 40</v>
      </c>
      <c r="C20" s="8"/>
      <c r="D20" s="8"/>
      <c r="E20" s="8"/>
    </row>
    <row r="21" customFormat="false" ht="15" hidden="false" customHeight="false" outlineLevel="0" collapsed="false">
      <c r="A21" s="6" t="s">
        <v>26</v>
      </c>
      <c r="B21" s="12" t="n">
        <f aca="false">Campaigns!I46</f>
        <v>210.88</v>
      </c>
      <c r="C21" s="7"/>
      <c r="D21" s="7"/>
      <c r="E21" s="8" t="s">
        <v>27</v>
      </c>
    </row>
    <row r="22" customFormat="false" ht="15" hidden="false" customHeight="false" outlineLevel="0" collapsed="false">
      <c r="A22" s="6" t="s">
        <v>28</v>
      </c>
      <c r="B22" s="13"/>
      <c r="C22" s="10" t="n">
        <f aca="false">1-SUMIFS(Campaigns!$AD$6:$AD$45,Campaigns!$G$6:$G$45,"Phase 0: run*")/Campaigns!AD46</f>
        <v>0.783250190242665</v>
      </c>
      <c r="D22" s="10"/>
      <c r="E22" s="8" t="s">
        <v>29</v>
      </c>
    </row>
    <row r="23" customFormat="false" ht="15" hidden="false" customHeight="false" outlineLevel="0" collapsed="false">
      <c r="A23" s="6" t="s">
        <v>30</v>
      </c>
      <c r="B23" s="11" t="str">
        <f aca="false">'Stop List'!B16</f>
        <v>7 of 9</v>
      </c>
      <c r="C23" s="8"/>
      <c r="D23" s="8"/>
      <c r="E23" s="8"/>
    </row>
    <row r="24" customFormat="false" ht="15" hidden="false" customHeight="false" outlineLevel="0" collapsed="false">
      <c r="A24" s="6" t="s">
        <v>31</v>
      </c>
      <c r="B24" s="13" t="n">
        <f aca="false">IF(Placements!D9=0,0,Placements!D8/Placements!D9)</f>
        <v>0.470588235294118</v>
      </c>
      <c r="C24" s="10"/>
      <c r="D24" s="10"/>
      <c r="E24" s="8" t="s">
        <v>32</v>
      </c>
    </row>
    <row r="26" customFormat="false" ht="15" hidden="false" customHeight="false" outlineLevel="0" collapsed="false">
      <c r="A26" s="3" t="s">
        <v>33</v>
      </c>
    </row>
    <row r="27" customFormat="false" ht="30" hidden="false" customHeight="true" outlineLevel="0" collapsed="false">
      <c r="A27" s="4" t="s">
        <v>34</v>
      </c>
      <c r="B27" s="4"/>
      <c r="C27" s="4"/>
      <c r="D27" s="4"/>
      <c r="E27" s="4"/>
      <c r="F27" s="4"/>
      <c r="G27" s="4"/>
      <c r="H27" s="4"/>
    </row>
    <row r="28" customFormat="false" ht="30" hidden="false" customHeight="true" outlineLevel="0" collapsed="false">
      <c r="A28" s="4" t="s">
        <v>35</v>
      </c>
      <c r="B28" s="4"/>
      <c r="C28" s="4"/>
      <c r="D28" s="4"/>
      <c r="E28" s="4"/>
      <c r="F28" s="4"/>
      <c r="G28" s="4"/>
      <c r="H28" s="4"/>
    </row>
    <row r="29" customFormat="false" ht="30" hidden="false" customHeight="true" outlineLevel="0" collapsed="false">
      <c r="A29" s="4" t="s">
        <v>36</v>
      </c>
      <c r="B29" s="4"/>
      <c r="C29" s="4"/>
      <c r="D29" s="4"/>
      <c r="E29" s="4"/>
      <c r="F29" s="4"/>
      <c r="G29" s="4"/>
      <c r="H29" s="4"/>
    </row>
    <row r="30" customFormat="false" ht="30" hidden="false" customHeight="true" outlineLevel="0" collapsed="false">
      <c r="A30" s="4" t="s">
        <v>37</v>
      </c>
      <c r="B30" s="4"/>
      <c r="C30" s="4"/>
      <c r="D30" s="4"/>
      <c r="E30" s="4"/>
      <c r="F30" s="4"/>
      <c r="G30" s="4"/>
      <c r="H30" s="4"/>
    </row>
    <row r="31" customFormat="false" ht="45" hidden="false" customHeight="true" outlineLevel="0" collapsed="false">
      <c r="A31" s="4" t="s">
        <v>38</v>
      </c>
      <c r="B31" s="4"/>
      <c r="C31" s="4"/>
      <c r="D31" s="4"/>
      <c r="E31" s="4"/>
      <c r="F31" s="4"/>
      <c r="G31" s="4"/>
      <c r="H31" s="4"/>
    </row>
    <row r="32" customFormat="false" ht="30" hidden="false" customHeight="true" outlineLevel="0" collapsed="false">
      <c r="A32" s="4" t="s">
        <v>39</v>
      </c>
      <c r="B32" s="4"/>
      <c r="C32" s="4"/>
      <c r="D32" s="4"/>
      <c r="E32" s="4"/>
      <c r="F32" s="4"/>
      <c r="G32" s="4"/>
      <c r="H32" s="4"/>
    </row>
    <row r="33" customFormat="false" ht="30" hidden="false" customHeight="true" outlineLevel="0" collapsed="false">
      <c r="A33" s="4" t="s">
        <v>40</v>
      </c>
      <c r="B33" s="4"/>
      <c r="C33" s="4"/>
      <c r="D33" s="4"/>
      <c r="E33" s="4"/>
      <c r="F33" s="4"/>
      <c r="G33" s="4"/>
      <c r="H33" s="4"/>
    </row>
    <row r="34" customFormat="false" ht="30" hidden="false" customHeight="true" outlineLevel="0" collapsed="false">
      <c r="A34" s="4" t="s">
        <v>41</v>
      </c>
      <c r="B34" s="4"/>
      <c r="C34" s="4"/>
      <c r="D34" s="4"/>
      <c r="E34" s="4"/>
      <c r="F34" s="4"/>
      <c r="G34" s="4"/>
      <c r="H34" s="4"/>
    </row>
    <row r="36" customFormat="false" ht="15" hidden="false" customHeight="false" outlineLevel="0" collapsed="false">
      <c r="A36" s="3" t="s">
        <v>42</v>
      </c>
    </row>
    <row r="37" customFormat="false" ht="30" hidden="false" customHeight="true" outlineLevel="0" collapsed="false">
      <c r="A37" s="4" t="s">
        <v>43</v>
      </c>
      <c r="B37" s="4"/>
      <c r="C37" s="4"/>
      <c r="D37" s="4"/>
      <c r="E37" s="4"/>
      <c r="F37" s="4"/>
      <c r="G37" s="4"/>
      <c r="H37" s="4"/>
    </row>
    <row r="38" customFormat="false" ht="15" hidden="false" customHeight="true" outlineLevel="0" collapsed="false">
      <c r="A38" s="4" t="s">
        <v>44</v>
      </c>
      <c r="B38" s="4"/>
      <c r="C38" s="4"/>
      <c r="D38" s="4"/>
      <c r="E38" s="4"/>
      <c r="F38" s="4"/>
      <c r="G38" s="4"/>
      <c r="H38" s="4"/>
    </row>
    <row r="39" customFormat="false" ht="15" hidden="false" customHeight="true" outlineLevel="0" collapsed="false">
      <c r="A39" s="4" t="s">
        <v>45</v>
      </c>
      <c r="B39" s="4"/>
      <c r="C39" s="4"/>
      <c r="D39" s="4"/>
      <c r="E39" s="4"/>
      <c r="F39" s="4"/>
      <c r="G39" s="4"/>
      <c r="H39" s="4"/>
    </row>
    <row r="40" customFormat="false" ht="30" hidden="false" customHeight="true" outlineLevel="0" collapsed="false">
      <c r="A40" s="4" t="s">
        <v>46</v>
      </c>
      <c r="B40" s="4"/>
      <c r="C40" s="4"/>
      <c r="D40" s="4"/>
      <c r="E40" s="4"/>
      <c r="F40" s="4"/>
      <c r="G40" s="4"/>
      <c r="H40" s="4"/>
    </row>
    <row r="41" customFormat="false" ht="15" hidden="false" customHeight="true" outlineLevel="0" collapsed="false">
      <c r="A41" s="4" t="s">
        <v>47</v>
      </c>
      <c r="B41" s="4"/>
      <c r="C41" s="4"/>
      <c r="D41" s="4"/>
      <c r="E41" s="4"/>
      <c r="F41" s="4"/>
      <c r="G41" s="4"/>
      <c r="H41" s="4"/>
    </row>
    <row r="43" customFormat="false" ht="15" hidden="false" customHeight="false" outlineLevel="0" collapsed="false">
      <c r="A43" s="3" t="s">
        <v>48</v>
      </c>
    </row>
    <row r="44" customFormat="false" ht="30" hidden="false" customHeight="true" outlineLevel="0" collapsed="false">
      <c r="A44" s="4" t="s">
        <v>49</v>
      </c>
      <c r="B44" s="4"/>
      <c r="C44" s="4"/>
      <c r="D44" s="4"/>
      <c r="E44" s="4"/>
      <c r="F44" s="4"/>
      <c r="G44" s="4"/>
      <c r="H44" s="4"/>
    </row>
    <row r="46" customFormat="false" ht="15" hidden="false" customHeight="false" outlineLevel="0" collapsed="false">
      <c r="A46" s="3" t="s">
        <v>50</v>
      </c>
    </row>
    <row r="47" customFormat="false" ht="30" hidden="false" customHeight="true" outlineLevel="0" collapsed="false">
      <c r="A47" s="4" t="s">
        <v>51</v>
      </c>
      <c r="B47" s="4"/>
      <c r="C47" s="4"/>
      <c r="D47" s="4"/>
      <c r="E47" s="4"/>
      <c r="F47" s="4"/>
      <c r="G47" s="4"/>
      <c r="H47" s="4"/>
    </row>
    <row r="48" customFormat="false" ht="30" hidden="false" customHeight="true" outlineLevel="0" collapsed="false">
      <c r="A48" s="4" t="s">
        <v>52</v>
      </c>
      <c r="B48" s="4"/>
      <c r="C48" s="4"/>
      <c r="D48" s="4"/>
      <c r="E48" s="4"/>
      <c r="F48" s="4"/>
      <c r="G48" s="4"/>
      <c r="H48" s="4"/>
    </row>
    <row r="49" customFormat="false" ht="30" hidden="false" customHeight="true" outlineLevel="0" collapsed="false">
      <c r="A49" s="4" t="s">
        <v>53</v>
      </c>
      <c r="B49" s="4"/>
      <c r="C49" s="4"/>
      <c r="D49" s="4"/>
      <c r="E49" s="4"/>
      <c r="F49" s="4"/>
      <c r="G49" s="4"/>
      <c r="H49" s="4"/>
    </row>
    <row r="50" customFormat="false" ht="15" hidden="false" customHeight="true" outlineLevel="0" collapsed="false">
      <c r="A50" s="4" t="s">
        <v>54</v>
      </c>
      <c r="B50" s="4"/>
      <c r="C50" s="4"/>
      <c r="D50" s="4"/>
      <c r="E50" s="4"/>
      <c r="F50" s="4"/>
      <c r="G50" s="4"/>
      <c r="H50" s="4"/>
    </row>
    <row r="52" customFormat="false" ht="15" hidden="false" customHeight="false" outlineLevel="0" collapsed="false">
      <c r="A52" s="3" t="s">
        <v>55</v>
      </c>
    </row>
    <row r="53" customFormat="false" ht="45" hidden="false" customHeight="true" outlineLevel="0" collapsed="false">
      <c r="A53" s="4" t="s">
        <v>56</v>
      </c>
      <c r="B53" s="4"/>
      <c r="C53" s="4"/>
      <c r="D53" s="4"/>
      <c r="E53" s="4"/>
      <c r="F53" s="4"/>
      <c r="G53" s="4"/>
      <c r="H53" s="4"/>
    </row>
    <row r="54" customFormat="false" ht="30" hidden="false" customHeight="true" outlineLevel="0" collapsed="false">
      <c r="A54" s="4" t="s">
        <v>57</v>
      </c>
      <c r="B54" s="4"/>
      <c r="C54" s="4"/>
      <c r="D54" s="4"/>
      <c r="E54" s="4"/>
      <c r="F54" s="4"/>
      <c r="G54" s="4"/>
      <c r="H54" s="4"/>
    </row>
    <row r="55" customFormat="false" ht="15" hidden="false" customHeight="true" outlineLevel="0" collapsed="false">
      <c r="A55" s="4" t="s">
        <v>58</v>
      </c>
      <c r="B55" s="4"/>
      <c r="C55" s="4"/>
      <c r="D55" s="4"/>
      <c r="E55" s="4"/>
      <c r="F55" s="4"/>
      <c r="G55" s="4"/>
      <c r="H55" s="4"/>
    </row>
  </sheetData>
  <mergeCells count="23">
    <mergeCell ref="A5:H5"/>
    <mergeCell ref="A8:H8"/>
    <mergeCell ref="A27:H27"/>
    <mergeCell ref="A28:H28"/>
    <mergeCell ref="A29:H29"/>
    <mergeCell ref="A30:H30"/>
    <mergeCell ref="A31:H31"/>
    <mergeCell ref="A32:H32"/>
    <mergeCell ref="A33:H33"/>
    <mergeCell ref="A34:H34"/>
    <mergeCell ref="A37:H37"/>
    <mergeCell ref="A38:H38"/>
    <mergeCell ref="A39:H39"/>
    <mergeCell ref="A40:H40"/>
    <mergeCell ref="A41:H41"/>
    <mergeCell ref="A44:H44"/>
    <mergeCell ref="A47:H47"/>
    <mergeCell ref="A48:H48"/>
    <mergeCell ref="A49:H49"/>
    <mergeCell ref="A50:H50"/>
    <mergeCell ref="A53:H53"/>
    <mergeCell ref="A54:H54"/>
    <mergeCell ref="A55:H5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AX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44"/>
    <col collapsed="false" customWidth="true" hidden="false" outlineLevel="0" max="3" min="3" style="0" width="30"/>
    <col collapsed="false" customWidth="true" hidden="false" outlineLevel="0" max="4" min="4" style="0" width="9"/>
    <col collapsed="false" customWidth="true" hidden="false" outlineLevel="0" max="5" min="5" style="0" width="22"/>
    <col collapsed="false" customWidth="true" hidden="false" outlineLevel="0" max="6" min="6" style="0" width="30"/>
    <col collapsed="false" customWidth="true" hidden="false" outlineLevel="0" max="7" min="7" style="0" width="24"/>
    <col collapsed="false" customWidth="true" hidden="false" outlineLevel="0" max="9" min="8" style="0" width="10"/>
    <col collapsed="false" customWidth="true" hidden="false" outlineLevel="0" max="12" min="10" style="0" width="9"/>
    <col collapsed="false" customWidth="true" hidden="false" outlineLevel="0" max="42" min="13" style="0" width="10"/>
    <col collapsed="false" customWidth="true" hidden="false" outlineLevel="0" max="43" min="43" style="0" width="24"/>
    <col collapsed="false" customWidth="true" hidden="false" outlineLevel="0" max="44" min="44" style="0" width="18"/>
    <col collapsed="false" customWidth="true" hidden="false" outlineLevel="0" max="45" min="45" style="0" width="14"/>
    <col collapsed="false" customWidth="true" hidden="false" outlineLevel="0" max="46" min="46" style="0" width="34"/>
    <col collapsed="false" customWidth="true" hidden="false" outlineLevel="0" max="47" min="47" style="0" width="60"/>
    <col collapsed="false" customWidth="true" hidden="false" outlineLevel="0" max="48" min="48" style="0" width="10"/>
    <col collapsed="false" customWidth="true" hidden="false" outlineLevel="0" max="49" min="49" style="0" width="9"/>
    <col collapsed="false" customWidth="true" hidden="false" outlineLevel="0" max="50" min="50" style="0" width="30"/>
  </cols>
  <sheetData>
    <row r="1" customFormat="false" ht="17.35" hidden="false" customHeight="false" outlineLevel="0" collapsed="false">
      <c r="A1" s="14" t="s">
        <v>59</v>
      </c>
    </row>
    <row r="2" customFormat="false" ht="15" hidden="false" customHeight="false" outlineLevel="0" collapsed="false">
      <c r="A2" s="15" t="s">
        <v>60</v>
      </c>
    </row>
    <row r="4" customFormat="false" ht="15" hidden="false" customHeight="true" outlineLevel="0" collapsed="false">
      <c r="A4" s="16" t="s">
        <v>61</v>
      </c>
      <c r="B4" s="16"/>
      <c r="C4" s="16"/>
      <c r="D4" s="16"/>
      <c r="E4" s="16"/>
      <c r="F4" s="16"/>
      <c r="G4" s="16"/>
      <c r="H4" s="16" t="s">
        <v>62</v>
      </c>
      <c r="I4" s="16"/>
      <c r="J4" s="16"/>
      <c r="K4" s="16"/>
      <c r="L4" s="16"/>
      <c r="M4" s="16" t="s">
        <v>63</v>
      </c>
      <c r="N4" s="16"/>
      <c r="O4" s="16"/>
      <c r="P4" s="16"/>
      <c r="Q4" s="16"/>
      <c r="R4" s="16"/>
      <c r="S4" s="16"/>
      <c r="T4" s="16"/>
      <c r="U4" s="16"/>
      <c r="V4" s="16"/>
      <c r="W4" s="16" t="s">
        <v>64</v>
      </c>
      <c r="X4" s="16"/>
      <c r="Y4" s="16"/>
      <c r="Z4" s="16"/>
      <c r="AA4" s="16"/>
      <c r="AB4" s="16"/>
      <c r="AC4" s="16" t="s">
        <v>65</v>
      </c>
      <c r="AD4" s="16"/>
      <c r="AE4" s="16"/>
      <c r="AF4" s="16"/>
      <c r="AG4" s="16"/>
      <c r="AH4" s="16" t="s">
        <v>66</v>
      </c>
      <c r="AI4" s="16"/>
      <c r="AJ4" s="16"/>
      <c r="AK4" s="16"/>
      <c r="AL4" s="16"/>
      <c r="AM4" s="16"/>
      <c r="AN4" s="16"/>
      <c r="AO4" s="16"/>
      <c r="AP4" s="16"/>
      <c r="AQ4" s="16" t="s">
        <v>67</v>
      </c>
      <c r="AR4" s="16"/>
      <c r="AS4" s="16"/>
      <c r="AT4" s="16" t="s">
        <v>68</v>
      </c>
      <c r="AU4" s="16"/>
      <c r="AV4" s="16"/>
      <c r="AW4" s="16"/>
      <c r="AX4" s="16"/>
    </row>
    <row r="5" customFormat="false" ht="45" hidden="false" customHeight="true" outlineLevel="0" collapsed="false">
      <c r="A5" s="5" t="s">
        <v>69</v>
      </c>
      <c r="B5" s="5" t="s">
        <v>70</v>
      </c>
      <c r="C5" s="5" t="s">
        <v>71</v>
      </c>
      <c r="D5" s="5" t="s">
        <v>72</v>
      </c>
      <c r="E5" s="5" t="s">
        <v>73</v>
      </c>
      <c r="F5" s="5" t="s">
        <v>74</v>
      </c>
      <c r="G5" s="5" t="s">
        <v>75</v>
      </c>
      <c r="H5" s="5" t="s">
        <v>76</v>
      </c>
      <c r="I5" s="5" t="s">
        <v>77</v>
      </c>
      <c r="J5" s="5" t="s">
        <v>78</v>
      </c>
      <c r="K5" s="5" t="s">
        <v>79</v>
      </c>
      <c r="L5" s="5" t="s">
        <v>80</v>
      </c>
      <c r="M5" s="5" t="s">
        <v>81</v>
      </c>
      <c r="N5" s="5" t="s">
        <v>13</v>
      </c>
      <c r="O5" s="5" t="s">
        <v>82</v>
      </c>
      <c r="P5" s="5" t="s">
        <v>14</v>
      </c>
      <c r="Q5" s="5" t="s">
        <v>83</v>
      </c>
      <c r="R5" s="5" t="s">
        <v>84</v>
      </c>
      <c r="S5" s="5" t="s">
        <v>85</v>
      </c>
      <c r="T5" s="5" t="s">
        <v>86</v>
      </c>
      <c r="U5" s="5" t="s">
        <v>21</v>
      </c>
      <c r="V5" s="5" t="s">
        <v>87</v>
      </c>
      <c r="W5" s="5" t="s">
        <v>13</v>
      </c>
      <c r="X5" s="5" t="s">
        <v>82</v>
      </c>
      <c r="Y5" s="5" t="s">
        <v>14</v>
      </c>
      <c r="Z5" s="5" t="s">
        <v>83</v>
      </c>
      <c r="AA5" s="5" t="s">
        <v>85</v>
      </c>
      <c r="AB5" s="5" t="s">
        <v>21</v>
      </c>
      <c r="AC5" s="5" t="s">
        <v>13</v>
      </c>
      <c r="AD5" s="5" t="s">
        <v>82</v>
      </c>
      <c r="AE5" s="5" t="s">
        <v>14</v>
      </c>
      <c r="AF5" s="5" t="s">
        <v>83</v>
      </c>
      <c r="AG5" s="5" t="s">
        <v>85</v>
      </c>
      <c r="AH5" s="5" t="s">
        <v>88</v>
      </c>
      <c r="AI5" s="5" t="s">
        <v>89</v>
      </c>
      <c r="AJ5" s="5" t="s">
        <v>90</v>
      </c>
      <c r="AK5" s="5" t="s">
        <v>91</v>
      </c>
      <c r="AL5" s="5" t="s">
        <v>92</v>
      </c>
      <c r="AM5" s="5" t="s">
        <v>93</v>
      </c>
      <c r="AN5" s="5" t="s">
        <v>94</v>
      </c>
      <c r="AO5" s="5" t="s">
        <v>95</v>
      </c>
      <c r="AP5" s="5" t="s">
        <v>96</v>
      </c>
      <c r="AQ5" s="5" t="s">
        <v>97</v>
      </c>
      <c r="AR5" s="5" t="s">
        <v>98</v>
      </c>
      <c r="AS5" s="5" t="s">
        <v>99</v>
      </c>
      <c r="AT5" s="5" t="s">
        <v>100</v>
      </c>
      <c r="AU5" s="5" t="s">
        <v>101</v>
      </c>
      <c r="AV5" s="5" t="s">
        <v>102</v>
      </c>
      <c r="AW5" s="17" t="s">
        <v>103</v>
      </c>
      <c r="AX5" s="17" t="s">
        <v>104</v>
      </c>
    </row>
    <row r="6" customFormat="false" ht="46.25" hidden="false" customHeight="false" outlineLevel="0" collapsed="false">
      <c r="A6" s="18" t="s">
        <v>105</v>
      </c>
      <c r="B6" s="19" t="s">
        <v>106</v>
      </c>
      <c r="C6" s="19" t="s">
        <v>107</v>
      </c>
      <c r="D6" s="8" t="s">
        <v>108</v>
      </c>
      <c r="E6" s="8" t="s">
        <v>109</v>
      </c>
      <c r="F6" s="8" t="s">
        <v>110</v>
      </c>
      <c r="G6" s="19" t="s">
        <v>111</v>
      </c>
      <c r="H6" s="8" t="s">
        <v>112</v>
      </c>
      <c r="I6" s="7" t="n">
        <v>30.09</v>
      </c>
      <c r="J6" s="20" t="n">
        <v>4.13</v>
      </c>
      <c r="K6" s="7" t="n">
        <v>0.97</v>
      </c>
      <c r="L6" s="7" t="n">
        <f aca="false">IF(OR(K6="",J6=""),"",K6*(1+J6))</f>
        <v>4.9761</v>
      </c>
      <c r="M6" s="9" t="n">
        <v>19211</v>
      </c>
      <c r="N6" s="9" t="n">
        <v>1063</v>
      </c>
      <c r="O6" s="7" t="n">
        <v>239.23</v>
      </c>
      <c r="P6" s="9" t="n">
        <v>9</v>
      </c>
      <c r="Q6" s="7" t="n">
        <v>282.91</v>
      </c>
      <c r="R6" s="10" t="n">
        <f aca="false">IF(M6=0,0,N6/M6)</f>
        <v>0.0553328822029046</v>
      </c>
      <c r="S6" s="10" t="n">
        <f aca="false">IF(N6=0,0,P6/N6)</f>
        <v>0.00846660395108184</v>
      </c>
      <c r="T6" s="7" t="n">
        <f aca="false">IF(N6=0,0,O6/N6)</f>
        <v>0.225051740357479</v>
      </c>
      <c r="U6" s="10" t="n">
        <f aca="false">IF(Q6=0,"",O6/Q6)</f>
        <v>0.845604609239687</v>
      </c>
      <c r="V6" s="21" t="n">
        <f aca="false">IF(O6=0,0,Q6/O6)</f>
        <v>1.18258579609581</v>
      </c>
      <c r="W6" s="9" t="n">
        <v>28</v>
      </c>
      <c r="X6" s="7" t="n">
        <v>34.14</v>
      </c>
      <c r="Y6" s="9" t="n">
        <v>0</v>
      </c>
      <c r="Z6" s="7" t="n">
        <v>0</v>
      </c>
      <c r="AA6" s="10" t="n">
        <f aca="false">IF(W6=0,0,Y6/W6)</f>
        <v>0</v>
      </c>
      <c r="AB6" s="10" t="str">
        <f aca="false">IF(Z6=0,"",X6/Z6)</f>
        <v/>
      </c>
      <c r="AC6" s="9" t="n">
        <v>18</v>
      </c>
      <c r="AD6" s="7" t="n">
        <v>21.48</v>
      </c>
      <c r="AE6" s="9" t="n">
        <v>0</v>
      </c>
      <c r="AF6" s="7" t="n">
        <v>0</v>
      </c>
      <c r="AG6" s="10" t="n">
        <f aca="false">IF(AC6=0,0,AE6/AC6)</f>
        <v>0</v>
      </c>
      <c r="AH6" s="9" t="n">
        <v>11</v>
      </c>
      <c r="AI6" s="7" t="n">
        <v>23.41</v>
      </c>
      <c r="AJ6" s="9" t="n">
        <v>21</v>
      </c>
      <c r="AK6" s="7" t="n">
        <v>17.03</v>
      </c>
      <c r="AL6" s="9" t="n">
        <v>4</v>
      </c>
      <c r="AM6" s="7" t="n">
        <v>3.66</v>
      </c>
      <c r="AN6" s="9" t="n">
        <v>1027</v>
      </c>
      <c r="AO6" s="7" t="n">
        <v>195.13</v>
      </c>
      <c r="AP6" s="10" t="n">
        <f aca="false">IF(O6=0,0,AO6/O6)</f>
        <v>0.815658571249425</v>
      </c>
      <c r="AQ6" s="8" t="str">
        <f aca="false">IF(N6&lt;Rules!$B$10,"Under 20 clicks: too early",IF(P6=0,"20+ clicks, 0 orders: negate / pause",IF(N6&lt;Rules!$B$11,"Under 100 clicks: watch",IF(S6&gt;=Rules!$B$12,"4%+: keep",IF(S6&gt;=Rules!$B$13,"2% to 4%: hold at lower bid","Under 2%: pause")))))</f>
        <v>Under 2%: pause</v>
      </c>
      <c r="AR6" s="8" t="str">
        <f aca="false">IF(O6=0,"",IF(Q6=0,"Spend, no sales",IF(U6&gt;Rules!$B$24,"Above 3x break-even","Within 3x break-even")))</f>
        <v>Above 3x break-even</v>
      </c>
      <c r="AS6" s="8" t="str">
        <f aca="false">IF(OR(J6="",H6&lt;&gt;"ENABLED"),"",IF(J6&gt;Rules!$B$9,"Above +300% cap","OK"))</f>
        <v>Above +300% cap</v>
      </c>
      <c r="AT6" s="19" t="s">
        <v>113</v>
      </c>
      <c r="AU6" s="19" t="s">
        <v>114</v>
      </c>
      <c r="AV6" s="8" t="s">
        <v>115</v>
      </c>
      <c r="AW6" s="22"/>
      <c r="AX6" s="22"/>
    </row>
    <row r="7" customFormat="false" ht="35.05" hidden="false" customHeight="false" outlineLevel="0" collapsed="false">
      <c r="A7" s="18" t="s">
        <v>116</v>
      </c>
      <c r="B7" s="19" t="s">
        <v>117</v>
      </c>
      <c r="C7" s="19" t="s">
        <v>118</v>
      </c>
      <c r="D7" s="8" t="s">
        <v>108</v>
      </c>
      <c r="E7" s="8" t="s">
        <v>119</v>
      </c>
      <c r="F7" s="8" t="s">
        <v>120</v>
      </c>
      <c r="G7" s="19" t="s">
        <v>121</v>
      </c>
      <c r="H7" s="8" t="s">
        <v>112</v>
      </c>
      <c r="I7" s="7" t="n">
        <v>13.04</v>
      </c>
      <c r="J7" s="20" t="n">
        <v>3</v>
      </c>
      <c r="K7" s="7"/>
      <c r="L7" s="7" t="str">
        <f aca="false">IF(OR(K7="",J7=""),"",K7*(1+J7))</f>
        <v/>
      </c>
      <c r="M7" s="9" t="n">
        <v>12334</v>
      </c>
      <c r="N7" s="9" t="n">
        <v>476</v>
      </c>
      <c r="O7" s="7" t="n">
        <v>158.98</v>
      </c>
      <c r="P7" s="9" t="n">
        <v>5</v>
      </c>
      <c r="Q7" s="7" t="n">
        <v>150.95</v>
      </c>
      <c r="R7" s="10" t="n">
        <f aca="false">IF(M7=0,0,N7/M7)</f>
        <v>0.0385925085130534</v>
      </c>
      <c r="S7" s="10" t="n">
        <f aca="false">IF(N7=0,0,P7/N7)</f>
        <v>0.0105042016806723</v>
      </c>
      <c r="T7" s="7" t="n">
        <f aca="false">IF(N7=0,0,O7/N7)</f>
        <v>0.333991596638655</v>
      </c>
      <c r="U7" s="10" t="n">
        <f aca="false">IF(Q7=0,"",O7/Q7)</f>
        <v>1.05319642265651</v>
      </c>
      <c r="V7" s="21" t="n">
        <f aca="false">IF(O7=0,0,Q7/O7)</f>
        <v>0.949490501949931</v>
      </c>
      <c r="W7" s="9" t="n">
        <v>31</v>
      </c>
      <c r="X7" s="7" t="n">
        <v>44.99</v>
      </c>
      <c r="Y7" s="9" t="n">
        <v>0</v>
      </c>
      <c r="Z7" s="7" t="n">
        <v>0</v>
      </c>
      <c r="AA7" s="10" t="n">
        <f aca="false">IF(W7=0,0,Y7/W7)</f>
        <v>0</v>
      </c>
      <c r="AB7" s="10" t="str">
        <f aca="false">IF(Z7=0,"",X7/Z7)</f>
        <v/>
      </c>
      <c r="AC7" s="9" t="n">
        <v>7</v>
      </c>
      <c r="AD7" s="7" t="n">
        <v>12.48</v>
      </c>
      <c r="AE7" s="9" t="n">
        <v>0</v>
      </c>
      <c r="AF7" s="7" t="n">
        <v>0</v>
      </c>
      <c r="AG7" s="10" t="n">
        <f aca="false">IF(AC7=0,0,AE7/AC7)</f>
        <v>0</v>
      </c>
      <c r="AH7" s="9" t="n">
        <v>26</v>
      </c>
      <c r="AI7" s="7" t="n">
        <v>47.63</v>
      </c>
      <c r="AJ7" s="9" t="n">
        <v>27</v>
      </c>
      <c r="AK7" s="7" t="n">
        <v>31.46</v>
      </c>
      <c r="AL7" s="9" t="n">
        <v>1</v>
      </c>
      <c r="AM7" s="7" t="n">
        <v>0.64</v>
      </c>
      <c r="AN7" s="9" t="n">
        <v>422</v>
      </c>
      <c r="AO7" s="7" t="n">
        <v>79.25</v>
      </c>
      <c r="AP7" s="10" t="n">
        <f aca="false">IF(O7=0,0,AO7/O7)</f>
        <v>0.498490376147943</v>
      </c>
      <c r="AQ7" s="8" t="str">
        <f aca="false">IF(N7&lt;Rules!$B$10,"Under 20 clicks: too early",IF(P7=0,"20+ clicks, 0 orders: negate / pause",IF(N7&lt;Rules!$B$11,"Under 100 clicks: watch",IF(S7&gt;=Rules!$B$12,"4%+: keep",IF(S7&gt;=Rules!$B$13,"2% to 4%: hold at lower bid","Under 2%: pause")))))</f>
        <v>Under 2%: pause</v>
      </c>
      <c r="AR7" s="8" t="str">
        <f aca="false">IF(O7=0,"",IF(Q7=0,"Spend, no sales",IF(U7&gt;Rules!$B$24,"Above 3x break-even","Within 3x break-even")))</f>
        <v>Above 3x break-even</v>
      </c>
      <c r="AS7" s="8" t="str">
        <f aca="false">IF(OR(J7="",H7&lt;&gt;"ENABLED"),"",IF(J7&gt;Rules!$B$9,"Above +300% cap","OK"))</f>
        <v>OK</v>
      </c>
      <c r="AT7" s="19" t="s">
        <v>122</v>
      </c>
      <c r="AU7" s="19" t="s">
        <v>123</v>
      </c>
      <c r="AV7" s="8" t="s">
        <v>124</v>
      </c>
      <c r="AW7" s="22"/>
      <c r="AX7" s="22"/>
    </row>
    <row r="8" customFormat="false" ht="35.05" hidden="false" customHeight="false" outlineLevel="0" collapsed="false">
      <c r="A8" s="18" t="s">
        <v>125</v>
      </c>
      <c r="B8" s="19" t="s">
        <v>126</v>
      </c>
      <c r="C8" s="19" t="s">
        <v>127</v>
      </c>
      <c r="D8" s="8" t="s">
        <v>108</v>
      </c>
      <c r="E8" s="8" t="s">
        <v>128</v>
      </c>
      <c r="F8" s="8" t="s">
        <v>120</v>
      </c>
      <c r="G8" s="19" t="s">
        <v>129</v>
      </c>
      <c r="H8" s="8" t="s">
        <v>130</v>
      </c>
      <c r="I8" s="7" t="n">
        <v>40</v>
      </c>
      <c r="J8" s="20"/>
      <c r="K8" s="7"/>
      <c r="L8" s="7" t="str">
        <f aca="false">IF(OR(K8="",J8=""),"",K8*(1+J8))</f>
        <v/>
      </c>
      <c r="M8" s="9" t="n">
        <v>24103</v>
      </c>
      <c r="N8" s="9" t="n">
        <v>187</v>
      </c>
      <c r="O8" s="7" t="n">
        <v>138.56</v>
      </c>
      <c r="P8" s="9" t="n">
        <v>3</v>
      </c>
      <c r="Q8" s="7" t="n">
        <v>88.97</v>
      </c>
      <c r="R8" s="10" t="n">
        <f aca="false">IF(M8=0,0,N8/M8)</f>
        <v>0.00775837032734514</v>
      </c>
      <c r="S8" s="10" t="n">
        <f aca="false">IF(N8=0,0,P8/N8)</f>
        <v>0.0160427807486631</v>
      </c>
      <c r="T8" s="7" t="n">
        <f aca="false">IF(N8=0,0,O8/N8)</f>
        <v>0.74096256684492</v>
      </c>
      <c r="U8" s="10" t="n">
        <f aca="false">IF(Q8=0,"",O8/Q8)</f>
        <v>1.55737889176127</v>
      </c>
      <c r="V8" s="21" t="n">
        <f aca="false">IF(O8=0,0,Q8/O8)</f>
        <v>0.642104503464203</v>
      </c>
      <c r="W8" s="9" t="n">
        <v>0</v>
      </c>
      <c r="X8" s="7" t="n">
        <v>0</v>
      </c>
      <c r="Y8" s="9" t="n">
        <v>0</v>
      </c>
      <c r="Z8" s="7" t="n">
        <v>0</v>
      </c>
      <c r="AA8" s="10" t="n">
        <f aca="false">IF(W8=0,0,Y8/W8)</f>
        <v>0</v>
      </c>
      <c r="AB8" s="10" t="str">
        <f aca="false">IF(Z8=0,"",X8/Z8)</f>
        <v/>
      </c>
      <c r="AC8" s="9" t="n">
        <v>0</v>
      </c>
      <c r="AD8" s="7" t="n">
        <v>0</v>
      </c>
      <c r="AE8" s="9" t="n">
        <v>0</v>
      </c>
      <c r="AF8" s="7" t="n">
        <v>0</v>
      </c>
      <c r="AG8" s="10" t="n">
        <f aca="false">IF(AC8=0,0,AE8/AC8)</f>
        <v>0</v>
      </c>
      <c r="AH8" s="9" t="n">
        <v>15</v>
      </c>
      <c r="AI8" s="7" t="n">
        <v>19.03</v>
      </c>
      <c r="AJ8" s="9" t="n">
        <v>168</v>
      </c>
      <c r="AK8" s="7" t="n">
        <v>118.06</v>
      </c>
      <c r="AL8" s="9" t="n">
        <v>2</v>
      </c>
      <c r="AM8" s="7" t="n">
        <v>1.48</v>
      </c>
      <c r="AN8" s="9" t="n">
        <v>0</v>
      </c>
      <c r="AO8" s="7" t="n">
        <v>0</v>
      </c>
      <c r="AP8" s="10" t="n">
        <f aca="false">IF(O8=0,0,AO8/O8)</f>
        <v>0</v>
      </c>
      <c r="AQ8" s="8" t="str">
        <f aca="false">IF(N8&lt;Rules!$B$10,"Under 20 clicks: too early",IF(P8=0,"20+ clicks, 0 orders: negate / pause",IF(N8&lt;Rules!$B$11,"Under 100 clicks: watch",IF(S8&gt;=Rules!$B$12,"4%+: keep",IF(S8&gt;=Rules!$B$13,"2% to 4%: hold at lower bid","Under 2%: pause")))))</f>
        <v>Under 2%: pause</v>
      </c>
      <c r="AR8" s="8" t="str">
        <f aca="false">IF(O8=0,"",IF(Q8=0,"Spend, no sales",IF(U8&gt;Rules!$B$24,"Above 3x break-even","Within 3x break-even")))</f>
        <v>Above 3x break-even</v>
      </c>
      <c r="AS8" s="8" t="str">
        <f aca="false">IF(OR(J8="",H8&lt;&gt;"ENABLED"),"",IF(J8&gt;Rules!$B$9,"Above +300% cap","OK"))</f>
        <v/>
      </c>
      <c r="AT8" s="19" t="s">
        <v>131</v>
      </c>
      <c r="AU8" s="19" t="s">
        <v>132</v>
      </c>
      <c r="AV8" s="8" t="s">
        <v>115</v>
      </c>
      <c r="AW8" s="22"/>
      <c r="AX8" s="22"/>
    </row>
    <row r="9" customFormat="false" ht="35.05" hidden="false" customHeight="false" outlineLevel="0" collapsed="false">
      <c r="A9" s="18" t="s">
        <v>133</v>
      </c>
      <c r="B9" s="19" t="s">
        <v>134</v>
      </c>
      <c r="C9" s="19" t="s">
        <v>135</v>
      </c>
      <c r="D9" s="8" t="s">
        <v>108</v>
      </c>
      <c r="E9" s="8" t="s">
        <v>128</v>
      </c>
      <c r="F9" s="8" t="s">
        <v>120</v>
      </c>
      <c r="G9" s="19" t="s">
        <v>129</v>
      </c>
      <c r="H9" s="8" t="s">
        <v>112</v>
      </c>
      <c r="I9" s="7" t="n">
        <v>9.41</v>
      </c>
      <c r="J9" s="20" t="n">
        <v>2.8</v>
      </c>
      <c r="K9" s="7" t="n">
        <v>0.52</v>
      </c>
      <c r="L9" s="7" t="n">
        <f aca="false">IF(OR(K9="",J9=""),"",K9*(1+J9))</f>
        <v>1.976</v>
      </c>
      <c r="M9" s="9" t="n">
        <v>18482</v>
      </c>
      <c r="N9" s="9" t="n">
        <v>184</v>
      </c>
      <c r="O9" s="7" t="n">
        <v>128.41</v>
      </c>
      <c r="P9" s="9" t="n">
        <v>4</v>
      </c>
      <c r="Q9" s="7" t="n">
        <v>150.95</v>
      </c>
      <c r="R9" s="10" t="n">
        <f aca="false">IF(M9=0,0,N9/M9)</f>
        <v>0.0099556325073044</v>
      </c>
      <c r="S9" s="10" t="n">
        <f aca="false">IF(N9=0,0,P9/N9)</f>
        <v>0.0217391304347826</v>
      </c>
      <c r="T9" s="7" t="n">
        <f aca="false">IF(N9=0,0,O9/N9)</f>
        <v>0.697880434782609</v>
      </c>
      <c r="U9" s="10" t="n">
        <f aca="false">IF(Q9=0,"",O9/Q9)</f>
        <v>0.850679032792315</v>
      </c>
      <c r="V9" s="21" t="n">
        <f aca="false">IF(O9=0,0,Q9/O9)</f>
        <v>1.17553150066194</v>
      </c>
      <c r="W9" s="9" t="n">
        <v>92</v>
      </c>
      <c r="X9" s="7" t="n">
        <v>69.17</v>
      </c>
      <c r="Y9" s="9" t="n">
        <v>1</v>
      </c>
      <c r="Z9" s="7" t="n">
        <v>34.99</v>
      </c>
      <c r="AA9" s="10" t="n">
        <f aca="false">IF(W9=0,0,Y9/W9)</f>
        <v>0.0108695652173913</v>
      </c>
      <c r="AB9" s="10" t="n">
        <f aca="false">IF(Z9=0,"",X9/Z9)</f>
        <v>1.97685052872249</v>
      </c>
      <c r="AC9" s="9" t="n">
        <v>40</v>
      </c>
      <c r="AD9" s="7" t="n">
        <v>29.79</v>
      </c>
      <c r="AE9" s="9" t="n">
        <v>1</v>
      </c>
      <c r="AF9" s="7" t="n">
        <v>34.99</v>
      </c>
      <c r="AG9" s="10" t="n">
        <f aca="false">IF(AC9=0,0,AE9/AC9)</f>
        <v>0.025</v>
      </c>
      <c r="AH9" s="9" t="n">
        <v>29</v>
      </c>
      <c r="AI9" s="7" t="n">
        <v>45.82</v>
      </c>
      <c r="AJ9" s="9" t="n">
        <v>155</v>
      </c>
      <c r="AK9" s="7" t="n">
        <v>82.59</v>
      </c>
      <c r="AL9" s="9" t="n">
        <v>0</v>
      </c>
      <c r="AM9" s="7" t="n">
        <v>0</v>
      </c>
      <c r="AN9" s="9" t="n">
        <v>0</v>
      </c>
      <c r="AO9" s="7" t="n">
        <v>0</v>
      </c>
      <c r="AP9" s="10" t="n">
        <f aca="false">IF(O9=0,0,AO9/O9)</f>
        <v>0</v>
      </c>
      <c r="AQ9" s="8" t="str">
        <f aca="false">IF(N9&lt;Rules!$B$10,"Under 20 clicks: too early",IF(P9=0,"20+ clicks, 0 orders: negate / pause",IF(N9&lt;Rules!$B$11,"Under 100 clicks: watch",IF(S9&gt;=Rules!$B$12,"4%+: keep",IF(S9&gt;=Rules!$B$13,"2% to 4%: hold at lower bid","Under 2%: pause")))))</f>
        <v>2% to 4%: hold at lower bid</v>
      </c>
      <c r="AR9" s="8" t="str">
        <f aca="false">IF(O9=0,"",IF(Q9=0,"Spend, no sales",IF(U9&gt;Rules!$B$24,"Above 3x break-even","Within 3x break-even")))</f>
        <v>Above 3x break-even</v>
      </c>
      <c r="AS9" s="8" t="str">
        <f aca="false">IF(OR(J9="",H9&lt;&gt;"ENABLED"),"",IF(J9&gt;Rules!$B$9,"Above +300% cap","OK"))</f>
        <v>OK</v>
      </c>
      <c r="AT9" s="19" t="s">
        <v>136</v>
      </c>
      <c r="AU9" s="19" t="s">
        <v>137</v>
      </c>
      <c r="AV9" s="8" t="s">
        <v>124</v>
      </c>
      <c r="AW9" s="22"/>
      <c r="AX9" s="22"/>
    </row>
    <row r="10" customFormat="false" ht="23.85" hidden="false" customHeight="false" outlineLevel="0" collapsed="false">
      <c r="A10" s="18" t="s">
        <v>138</v>
      </c>
      <c r="B10" s="19" t="s">
        <v>139</v>
      </c>
      <c r="C10" s="19" t="s">
        <v>140</v>
      </c>
      <c r="D10" s="8" t="s">
        <v>141</v>
      </c>
      <c r="E10" s="8" t="s">
        <v>142</v>
      </c>
      <c r="F10" s="8" t="s">
        <v>143</v>
      </c>
      <c r="G10" s="19" t="s">
        <v>144</v>
      </c>
      <c r="H10" s="8" t="s">
        <v>112</v>
      </c>
      <c r="I10" s="7" t="n">
        <v>4.5</v>
      </c>
      <c r="J10" s="20" t="n">
        <v>2.8</v>
      </c>
      <c r="K10" s="7"/>
      <c r="L10" s="7" t="str">
        <f aca="false">IF(OR(K10="",J10=""),"",K10*(1+J10))</f>
        <v/>
      </c>
      <c r="M10" s="9" t="n">
        <v>7633</v>
      </c>
      <c r="N10" s="9" t="n">
        <v>67</v>
      </c>
      <c r="O10" s="7" t="n">
        <v>103.08</v>
      </c>
      <c r="P10" s="9" t="n">
        <v>1</v>
      </c>
      <c r="Q10" s="7" t="n">
        <v>34.99</v>
      </c>
      <c r="R10" s="10" t="n">
        <f aca="false">IF(M10=0,0,N10/M10)</f>
        <v>0.00877767588104284</v>
      </c>
      <c r="S10" s="10" t="n">
        <f aca="false">IF(N10=0,0,P10/N10)</f>
        <v>0.0149253731343284</v>
      </c>
      <c r="T10" s="7" t="n">
        <f aca="false">IF(N10=0,0,O10/N10)</f>
        <v>1.53850746268657</v>
      </c>
      <c r="U10" s="10" t="n">
        <f aca="false">IF(Q10=0,"",O10/Q10)</f>
        <v>2.94598456701915</v>
      </c>
      <c r="V10" s="21" t="n">
        <f aca="false">IF(O10=0,0,Q10/O10)</f>
        <v>0.339445091191308</v>
      </c>
      <c r="W10" s="9" t="n">
        <v>66</v>
      </c>
      <c r="X10" s="7" t="n">
        <v>102.49</v>
      </c>
      <c r="Y10" s="9" t="n">
        <v>1</v>
      </c>
      <c r="Z10" s="7" t="n">
        <v>34.99</v>
      </c>
      <c r="AA10" s="10" t="n">
        <f aca="false">IF(W10=0,0,Y10/W10)</f>
        <v>0.0151515151515152</v>
      </c>
      <c r="AB10" s="10" t="n">
        <f aca="false">IF(Z10=0,"",X10/Z10)</f>
        <v>2.92912260645899</v>
      </c>
      <c r="AC10" s="9" t="n">
        <v>48</v>
      </c>
      <c r="AD10" s="7" t="n">
        <v>84.43</v>
      </c>
      <c r="AE10" s="9" t="n">
        <v>1</v>
      </c>
      <c r="AF10" s="7" t="n">
        <v>34.99</v>
      </c>
      <c r="AG10" s="10" t="n">
        <f aca="false">IF(AC10=0,0,AE10/AC10)</f>
        <v>0.0208333333333333</v>
      </c>
      <c r="AH10" s="9" t="n">
        <v>48</v>
      </c>
      <c r="AI10" s="7" t="n">
        <v>91.87</v>
      </c>
      <c r="AJ10" s="9" t="n">
        <v>18</v>
      </c>
      <c r="AK10" s="7" t="n">
        <v>10.62</v>
      </c>
      <c r="AL10" s="9" t="n">
        <v>1</v>
      </c>
      <c r="AM10" s="7" t="n">
        <v>0.59</v>
      </c>
      <c r="AN10" s="9" t="n">
        <v>0</v>
      </c>
      <c r="AO10" s="7" t="n">
        <v>0</v>
      </c>
      <c r="AP10" s="10" t="n">
        <f aca="false">IF(O10=0,0,AO10/O10)</f>
        <v>0</v>
      </c>
      <c r="AQ10" s="8" t="str">
        <f aca="false">IF(N10&lt;Rules!$B$10,"Under 20 clicks: too early",IF(P10=0,"20+ clicks, 0 orders: negate / pause",IF(N10&lt;Rules!$B$11,"Under 100 clicks: watch",IF(S10&gt;=Rules!$B$12,"4%+: keep",IF(S10&gt;=Rules!$B$13,"2% to 4%: hold at lower bid","Under 2%: pause")))))</f>
        <v>Under 100 clicks: watch</v>
      </c>
      <c r="AR10" s="8" t="str">
        <f aca="false">IF(O10=0,"",IF(Q10=0,"Spend, no sales",IF(U10&gt;Rules!$B$24,"Above 3x break-even","Within 3x break-even")))</f>
        <v>Above 3x break-even</v>
      </c>
      <c r="AS10" s="8" t="str">
        <f aca="false">IF(OR(J10="",H10&lt;&gt;"ENABLED"),"",IF(J10&gt;Rules!$B$9,"Above +300% cap","OK"))</f>
        <v>OK</v>
      </c>
      <c r="AT10" s="19" t="s">
        <v>145</v>
      </c>
      <c r="AU10" s="19" t="s">
        <v>146</v>
      </c>
      <c r="AV10" s="8" t="s">
        <v>124</v>
      </c>
      <c r="AW10" s="22"/>
      <c r="AX10" s="22"/>
    </row>
    <row r="11" customFormat="false" ht="35.05" hidden="false" customHeight="false" outlineLevel="0" collapsed="false">
      <c r="A11" s="18" t="s">
        <v>147</v>
      </c>
      <c r="B11" s="19" t="s">
        <v>148</v>
      </c>
      <c r="C11" s="19" t="s">
        <v>149</v>
      </c>
      <c r="D11" s="8" t="s">
        <v>108</v>
      </c>
      <c r="E11" s="8" t="s">
        <v>128</v>
      </c>
      <c r="F11" s="8" t="s">
        <v>120</v>
      </c>
      <c r="G11" s="19" t="s">
        <v>129</v>
      </c>
      <c r="H11" s="8" t="s">
        <v>130</v>
      </c>
      <c r="I11" s="7" t="n">
        <v>5.72</v>
      </c>
      <c r="J11" s="20"/>
      <c r="K11" s="7"/>
      <c r="L11" s="7" t="str">
        <f aca="false">IF(OR(K11="",J11=""),"",K11*(1+J11))</f>
        <v/>
      </c>
      <c r="M11" s="9" t="n">
        <v>10439</v>
      </c>
      <c r="N11" s="9" t="n">
        <v>125</v>
      </c>
      <c r="O11" s="7" t="n">
        <v>92.74</v>
      </c>
      <c r="P11" s="9" t="n">
        <v>3</v>
      </c>
      <c r="Q11" s="7" t="n">
        <v>80.97</v>
      </c>
      <c r="R11" s="10" t="n">
        <f aca="false">IF(M11=0,0,N11/M11)</f>
        <v>0.0119743270428202</v>
      </c>
      <c r="S11" s="10" t="n">
        <f aca="false">IF(N11=0,0,P11/N11)</f>
        <v>0.024</v>
      </c>
      <c r="T11" s="7" t="n">
        <f aca="false">IF(N11=0,0,O11/N11)</f>
        <v>0.74192</v>
      </c>
      <c r="U11" s="10" t="n">
        <f aca="false">IF(Q11=0,"",O11/Q11)</f>
        <v>1.14536247993084</v>
      </c>
      <c r="V11" s="21" t="n">
        <f aca="false">IF(O11=0,0,Q11/O11)</f>
        <v>0.873086047013155</v>
      </c>
      <c r="W11" s="9" t="n">
        <v>0</v>
      </c>
      <c r="X11" s="7" t="n">
        <v>0</v>
      </c>
      <c r="Y11" s="9" t="n">
        <v>0</v>
      </c>
      <c r="Z11" s="7" t="n">
        <v>0</v>
      </c>
      <c r="AA11" s="10" t="n">
        <f aca="false">IF(W11=0,0,Y11/W11)</f>
        <v>0</v>
      </c>
      <c r="AB11" s="10" t="str">
        <f aca="false">IF(Z11=0,"",X11/Z11)</f>
        <v/>
      </c>
      <c r="AC11" s="9" t="n">
        <v>0</v>
      </c>
      <c r="AD11" s="7" t="n">
        <v>0</v>
      </c>
      <c r="AE11" s="9" t="n">
        <v>0</v>
      </c>
      <c r="AF11" s="7" t="n">
        <v>0</v>
      </c>
      <c r="AG11" s="10" t="n">
        <f aca="false">IF(AC11=0,0,AE11/AC11)</f>
        <v>0</v>
      </c>
      <c r="AH11" s="9" t="n">
        <v>39</v>
      </c>
      <c r="AI11" s="7" t="n">
        <v>47.01</v>
      </c>
      <c r="AJ11" s="9" t="n">
        <v>83</v>
      </c>
      <c r="AK11" s="7" t="n">
        <v>43.78</v>
      </c>
      <c r="AL11" s="9" t="n">
        <v>3</v>
      </c>
      <c r="AM11" s="7" t="n">
        <v>1.95</v>
      </c>
      <c r="AN11" s="9" t="n">
        <v>0</v>
      </c>
      <c r="AO11" s="7" t="n">
        <v>0</v>
      </c>
      <c r="AP11" s="10" t="n">
        <f aca="false">IF(O11=0,0,AO11/O11)</f>
        <v>0</v>
      </c>
      <c r="AQ11" s="8" t="str">
        <f aca="false">IF(N11&lt;Rules!$B$10,"Under 20 clicks: too early",IF(P11=0,"20+ clicks, 0 orders: negate / pause",IF(N11&lt;Rules!$B$11,"Under 100 clicks: watch",IF(S11&gt;=Rules!$B$12,"4%+: keep",IF(S11&gt;=Rules!$B$13,"2% to 4%: hold at lower bid","Under 2%: pause")))))</f>
        <v>2% to 4%: hold at lower bid</v>
      </c>
      <c r="AR11" s="8" t="str">
        <f aca="false">IF(O11=0,"",IF(Q11=0,"Spend, no sales",IF(U11&gt;Rules!$B$24,"Above 3x break-even","Within 3x break-even")))</f>
        <v>Above 3x break-even</v>
      </c>
      <c r="AS11" s="8" t="str">
        <f aca="false">IF(OR(J11="",H11&lt;&gt;"ENABLED"),"",IF(J11&gt;Rules!$B$9,"Above +300% cap","OK"))</f>
        <v/>
      </c>
      <c r="AT11" s="19" t="s">
        <v>150</v>
      </c>
      <c r="AU11" s="19" t="s">
        <v>151</v>
      </c>
      <c r="AV11" s="8" t="s">
        <v>115</v>
      </c>
      <c r="AW11" s="22"/>
      <c r="AX11" s="22"/>
    </row>
    <row r="12" customFormat="false" ht="35.05" hidden="false" customHeight="false" outlineLevel="0" collapsed="false">
      <c r="A12" s="18" t="s">
        <v>152</v>
      </c>
      <c r="B12" s="19" t="s">
        <v>153</v>
      </c>
      <c r="C12" s="19" t="s">
        <v>154</v>
      </c>
      <c r="D12" s="8" t="s">
        <v>108</v>
      </c>
      <c r="E12" s="8" t="s">
        <v>128</v>
      </c>
      <c r="F12" s="8" t="s">
        <v>120</v>
      </c>
      <c r="G12" s="19" t="s">
        <v>155</v>
      </c>
      <c r="H12" s="8" t="s">
        <v>130</v>
      </c>
      <c r="I12" s="7" t="n">
        <v>6.59</v>
      </c>
      <c r="J12" s="20"/>
      <c r="K12" s="7"/>
      <c r="L12" s="7" t="str">
        <f aca="false">IF(OR(K12="",J12=""),"",K12*(1+J12))</f>
        <v/>
      </c>
      <c r="M12" s="9" t="n">
        <v>6970</v>
      </c>
      <c r="N12" s="9" t="n">
        <v>71</v>
      </c>
      <c r="O12" s="7" t="n">
        <v>63.38</v>
      </c>
      <c r="P12" s="9" t="n">
        <v>0</v>
      </c>
      <c r="Q12" s="7" t="n">
        <v>0</v>
      </c>
      <c r="R12" s="10" t="n">
        <f aca="false">IF(M12=0,0,N12/M12)</f>
        <v>0.0101865136298422</v>
      </c>
      <c r="S12" s="10" t="n">
        <f aca="false">IF(N12=0,0,P12/N12)</f>
        <v>0</v>
      </c>
      <c r="T12" s="7" t="n">
        <f aca="false">IF(N12=0,0,O12/N12)</f>
        <v>0.892676056338028</v>
      </c>
      <c r="U12" s="10" t="str">
        <f aca="false">IF(Q12=0,"",O12/Q12)</f>
        <v/>
      </c>
      <c r="V12" s="21" t="n">
        <f aca="false">IF(O12=0,0,Q12/O12)</f>
        <v>0</v>
      </c>
      <c r="W12" s="9" t="n">
        <v>0</v>
      </c>
      <c r="X12" s="7" t="n">
        <v>0</v>
      </c>
      <c r="Y12" s="9" t="n">
        <v>0</v>
      </c>
      <c r="Z12" s="7" t="n">
        <v>0</v>
      </c>
      <c r="AA12" s="10" t="n">
        <f aca="false">IF(W12=0,0,Y12/W12)</f>
        <v>0</v>
      </c>
      <c r="AB12" s="10" t="str">
        <f aca="false">IF(Z12=0,"",X12/Z12)</f>
        <v/>
      </c>
      <c r="AC12" s="9" t="n">
        <v>0</v>
      </c>
      <c r="AD12" s="7" t="n">
        <v>0</v>
      </c>
      <c r="AE12" s="9" t="n">
        <v>0</v>
      </c>
      <c r="AF12" s="7" t="n">
        <v>0</v>
      </c>
      <c r="AG12" s="10" t="n">
        <f aca="false">IF(AC12=0,0,AE12/AC12)</f>
        <v>0</v>
      </c>
      <c r="AH12" s="9" t="n">
        <v>14</v>
      </c>
      <c r="AI12" s="7" t="n">
        <v>25.12</v>
      </c>
      <c r="AJ12" s="9" t="n">
        <v>57</v>
      </c>
      <c r="AK12" s="7" t="n">
        <v>38.26</v>
      </c>
      <c r="AL12" s="9" t="n">
        <v>0</v>
      </c>
      <c r="AM12" s="7" t="n">
        <v>0</v>
      </c>
      <c r="AN12" s="9" t="n">
        <v>0</v>
      </c>
      <c r="AO12" s="7" t="n">
        <v>0</v>
      </c>
      <c r="AP12" s="10" t="n">
        <f aca="false">IF(O12=0,0,AO12/O12)</f>
        <v>0</v>
      </c>
      <c r="AQ12" s="8" t="str">
        <f aca="false">IF(N12&lt;Rules!$B$10,"Under 20 clicks: too early",IF(P12=0,"20+ clicks, 0 orders: negate / pause",IF(N12&lt;Rules!$B$11,"Under 100 clicks: watch",IF(S12&gt;=Rules!$B$12,"4%+: keep",IF(S12&gt;=Rules!$B$13,"2% to 4%: hold at lower bid","Under 2%: pause")))))</f>
        <v>20+ clicks, 0 orders: negate / pause</v>
      </c>
      <c r="AR12" s="8" t="str">
        <f aca="false">IF(O12=0,"",IF(Q12=0,"Spend, no sales",IF(U12&gt;Rules!$B$24,"Above 3x break-even","Within 3x break-even")))</f>
        <v>Spend, no sales</v>
      </c>
      <c r="AS12" s="8" t="str">
        <f aca="false">IF(OR(J12="",H12&lt;&gt;"ENABLED"),"",IF(J12&gt;Rules!$B$9,"Above +300% cap","OK"))</f>
        <v/>
      </c>
      <c r="AT12" s="19" t="s">
        <v>156</v>
      </c>
      <c r="AU12" s="19" t="s">
        <v>157</v>
      </c>
      <c r="AV12" s="8" t="s">
        <v>115</v>
      </c>
      <c r="AW12" s="22"/>
      <c r="AX12" s="22"/>
    </row>
    <row r="13" customFormat="false" ht="46.25" hidden="false" customHeight="false" outlineLevel="0" collapsed="false">
      <c r="A13" s="18" t="s">
        <v>158</v>
      </c>
      <c r="B13" s="19" t="s">
        <v>159</v>
      </c>
      <c r="C13" s="19" t="s">
        <v>160</v>
      </c>
      <c r="D13" s="8" t="s">
        <v>108</v>
      </c>
      <c r="E13" s="8" t="s">
        <v>161</v>
      </c>
      <c r="F13" s="8" t="s">
        <v>120</v>
      </c>
      <c r="G13" s="19" t="s">
        <v>121</v>
      </c>
      <c r="H13" s="8" t="s">
        <v>130</v>
      </c>
      <c r="I13" s="7" t="n">
        <v>47.56</v>
      </c>
      <c r="J13" s="20"/>
      <c r="K13" s="7"/>
      <c r="L13" s="7" t="str">
        <f aca="false">IF(OR(K13="",J13=""),"",K13*(1+J13))</f>
        <v/>
      </c>
      <c r="M13" s="9" t="n">
        <v>11819</v>
      </c>
      <c r="N13" s="9" t="n">
        <v>77</v>
      </c>
      <c r="O13" s="7" t="n">
        <v>62.97</v>
      </c>
      <c r="P13" s="9" t="n">
        <v>1</v>
      </c>
      <c r="Q13" s="7" t="n">
        <v>26.99</v>
      </c>
      <c r="R13" s="10" t="n">
        <f aca="false">IF(M13=0,0,N13/M13)</f>
        <v>0.00651493358152128</v>
      </c>
      <c r="S13" s="10" t="n">
        <f aca="false">IF(N13=0,0,P13/N13)</f>
        <v>0.012987012987013</v>
      </c>
      <c r="T13" s="7" t="n">
        <f aca="false">IF(N13=0,0,O13/N13)</f>
        <v>0.817792207792208</v>
      </c>
      <c r="U13" s="10" t="n">
        <f aca="false">IF(Q13=0,"",O13/Q13)</f>
        <v>2.33308632826973</v>
      </c>
      <c r="V13" s="21" t="n">
        <f aca="false">IF(O13=0,0,Q13/O13)</f>
        <v>0.42861680165158</v>
      </c>
      <c r="W13" s="9" t="n">
        <v>0</v>
      </c>
      <c r="X13" s="7" t="n">
        <v>0</v>
      </c>
      <c r="Y13" s="9" t="n">
        <v>0</v>
      </c>
      <c r="Z13" s="7" t="n">
        <v>0</v>
      </c>
      <c r="AA13" s="10" t="n">
        <f aca="false">IF(W13=0,0,Y13/W13)</f>
        <v>0</v>
      </c>
      <c r="AB13" s="10" t="str">
        <f aca="false">IF(Z13=0,"",X13/Z13)</f>
        <v/>
      </c>
      <c r="AC13" s="9" t="n">
        <v>0</v>
      </c>
      <c r="AD13" s="7" t="n">
        <v>0</v>
      </c>
      <c r="AE13" s="9" t="n">
        <v>0</v>
      </c>
      <c r="AF13" s="7" t="n">
        <v>0</v>
      </c>
      <c r="AG13" s="10" t="n">
        <f aca="false">IF(AC13=0,0,AE13/AC13)</f>
        <v>0</v>
      </c>
      <c r="AH13" s="9" t="n">
        <v>23</v>
      </c>
      <c r="AI13" s="7" t="n">
        <v>31.46</v>
      </c>
      <c r="AJ13" s="9" t="n">
        <v>35</v>
      </c>
      <c r="AK13" s="7" t="n">
        <v>25.1</v>
      </c>
      <c r="AL13" s="9" t="n">
        <v>4</v>
      </c>
      <c r="AM13" s="7" t="n">
        <v>3.44</v>
      </c>
      <c r="AN13" s="9" t="n">
        <v>15</v>
      </c>
      <c r="AO13" s="7" t="n">
        <v>2.97</v>
      </c>
      <c r="AP13" s="10" t="n">
        <f aca="false">IF(O13=0,0,AO13/O13)</f>
        <v>0.0471653168175322</v>
      </c>
      <c r="AQ13" s="8" t="str">
        <f aca="false">IF(N13&lt;Rules!$B$10,"Under 20 clicks: too early",IF(P13=0,"20+ clicks, 0 orders: negate / pause",IF(N13&lt;Rules!$B$11,"Under 100 clicks: watch",IF(S13&gt;=Rules!$B$12,"4%+: keep",IF(S13&gt;=Rules!$B$13,"2% to 4%: hold at lower bid","Under 2%: pause")))))</f>
        <v>Under 100 clicks: watch</v>
      </c>
      <c r="AR13" s="8" t="str">
        <f aca="false">IF(O13=0,"",IF(Q13=0,"Spend, no sales",IF(U13&gt;Rules!$B$24,"Above 3x break-even","Within 3x break-even")))</f>
        <v>Above 3x break-even</v>
      </c>
      <c r="AS13" s="8" t="str">
        <f aca="false">IF(OR(J13="",H13&lt;&gt;"ENABLED"),"",IF(J13&gt;Rules!$B$9,"Above +300% cap","OK"))</f>
        <v/>
      </c>
      <c r="AT13" s="19" t="s">
        <v>162</v>
      </c>
      <c r="AU13" s="19" t="s">
        <v>163</v>
      </c>
      <c r="AV13" s="8" t="s">
        <v>164</v>
      </c>
      <c r="AW13" s="22"/>
      <c r="AX13" s="22"/>
    </row>
    <row r="14" customFormat="false" ht="35.05" hidden="false" customHeight="false" outlineLevel="0" collapsed="false">
      <c r="A14" s="18" t="s">
        <v>165</v>
      </c>
      <c r="B14" s="19" t="s">
        <v>166</v>
      </c>
      <c r="C14" s="19" t="s">
        <v>167</v>
      </c>
      <c r="D14" s="8" t="s">
        <v>108</v>
      </c>
      <c r="E14" s="8" t="s">
        <v>128</v>
      </c>
      <c r="F14" s="8" t="s">
        <v>120</v>
      </c>
      <c r="G14" s="19" t="s">
        <v>168</v>
      </c>
      <c r="H14" s="8" t="s">
        <v>130</v>
      </c>
      <c r="I14" s="7" t="n">
        <v>7.56</v>
      </c>
      <c r="J14" s="20"/>
      <c r="K14" s="7"/>
      <c r="L14" s="7" t="str">
        <f aca="false">IF(OR(K14="",J14=""),"",K14*(1+J14))</f>
        <v/>
      </c>
      <c r="M14" s="9" t="n">
        <v>10098</v>
      </c>
      <c r="N14" s="9" t="n">
        <v>72</v>
      </c>
      <c r="O14" s="7" t="n">
        <v>62.18</v>
      </c>
      <c r="P14" s="9" t="n">
        <v>0</v>
      </c>
      <c r="Q14" s="7" t="n">
        <v>0</v>
      </c>
      <c r="R14" s="10" t="n">
        <f aca="false">IF(M14=0,0,N14/M14)</f>
        <v>0.0071301247771836</v>
      </c>
      <c r="S14" s="10" t="n">
        <f aca="false">IF(N14=0,0,P14/N14)</f>
        <v>0</v>
      </c>
      <c r="T14" s="7" t="n">
        <f aca="false">IF(N14=0,0,O14/N14)</f>
        <v>0.863611111111111</v>
      </c>
      <c r="U14" s="10" t="str">
        <f aca="false">IF(Q14=0,"",O14/Q14)</f>
        <v/>
      </c>
      <c r="V14" s="21" t="n">
        <f aca="false">IF(O14=0,0,Q14/O14)</f>
        <v>0</v>
      </c>
      <c r="W14" s="9" t="n">
        <v>2</v>
      </c>
      <c r="X14" s="7" t="n">
        <v>1.36</v>
      </c>
      <c r="Y14" s="9" t="n">
        <v>0</v>
      </c>
      <c r="Z14" s="7" t="n">
        <v>0</v>
      </c>
      <c r="AA14" s="10" t="n">
        <f aca="false">IF(W14=0,0,Y14/W14)</f>
        <v>0</v>
      </c>
      <c r="AB14" s="10" t="str">
        <f aca="false">IF(Z14=0,"",X14/Z14)</f>
        <v/>
      </c>
      <c r="AC14" s="9" t="n">
        <v>0</v>
      </c>
      <c r="AD14" s="7" t="n">
        <v>0</v>
      </c>
      <c r="AE14" s="9" t="n">
        <v>0</v>
      </c>
      <c r="AF14" s="7" t="n">
        <v>0</v>
      </c>
      <c r="AG14" s="10" t="n">
        <f aca="false">IF(AC14=0,0,AE14/AC14)</f>
        <v>0</v>
      </c>
      <c r="AH14" s="9" t="n">
        <v>16</v>
      </c>
      <c r="AI14" s="7" t="n">
        <v>26.02</v>
      </c>
      <c r="AJ14" s="9" t="n">
        <v>54</v>
      </c>
      <c r="AK14" s="7" t="n">
        <v>34.98</v>
      </c>
      <c r="AL14" s="9" t="n">
        <v>2</v>
      </c>
      <c r="AM14" s="7" t="n">
        <v>1.18</v>
      </c>
      <c r="AN14" s="9" t="n">
        <v>0</v>
      </c>
      <c r="AO14" s="7" t="n">
        <v>0</v>
      </c>
      <c r="AP14" s="10" t="n">
        <f aca="false">IF(O14=0,0,AO14/O14)</f>
        <v>0</v>
      </c>
      <c r="AQ14" s="8" t="str">
        <f aca="false">IF(N14&lt;Rules!$B$10,"Under 20 clicks: too early",IF(P14=0,"20+ clicks, 0 orders: negate / pause",IF(N14&lt;Rules!$B$11,"Under 100 clicks: watch",IF(S14&gt;=Rules!$B$12,"4%+: keep",IF(S14&gt;=Rules!$B$13,"2% to 4%: hold at lower bid","Under 2%: pause")))))</f>
        <v>20+ clicks, 0 orders: negate / pause</v>
      </c>
      <c r="AR14" s="8" t="str">
        <f aca="false">IF(O14=0,"",IF(Q14=0,"Spend, no sales",IF(U14&gt;Rules!$B$24,"Above 3x break-even","Within 3x break-even")))</f>
        <v>Spend, no sales</v>
      </c>
      <c r="AS14" s="8" t="str">
        <f aca="false">IF(OR(J14="",H14&lt;&gt;"ENABLED"),"",IF(J14&gt;Rules!$B$9,"Above +300% cap","OK"))</f>
        <v/>
      </c>
      <c r="AT14" s="19" t="s">
        <v>169</v>
      </c>
      <c r="AU14" s="19" t="s">
        <v>170</v>
      </c>
      <c r="AV14" s="8" t="s">
        <v>164</v>
      </c>
      <c r="AW14" s="22"/>
      <c r="AX14" s="22"/>
    </row>
    <row r="15" customFormat="false" ht="35.05" hidden="false" customHeight="false" outlineLevel="0" collapsed="false">
      <c r="A15" s="18" t="s">
        <v>171</v>
      </c>
      <c r="B15" s="19" t="s">
        <v>172</v>
      </c>
      <c r="C15" s="19" t="s">
        <v>173</v>
      </c>
      <c r="D15" s="8" t="s">
        <v>108</v>
      </c>
      <c r="E15" s="8" t="s">
        <v>109</v>
      </c>
      <c r="F15" s="8" t="s">
        <v>110</v>
      </c>
      <c r="G15" s="19" t="s">
        <v>174</v>
      </c>
      <c r="H15" s="8" t="s">
        <v>112</v>
      </c>
      <c r="I15" s="7" t="n">
        <v>5.66</v>
      </c>
      <c r="J15" s="20" t="n">
        <v>3.56</v>
      </c>
      <c r="K15" s="7"/>
      <c r="L15" s="7" t="str">
        <f aca="false">IF(OR(K15="",J15=""),"",K15*(1+J15))</f>
        <v/>
      </c>
      <c r="M15" s="9" t="n">
        <v>3733</v>
      </c>
      <c r="N15" s="9" t="n">
        <v>128</v>
      </c>
      <c r="O15" s="7" t="n">
        <v>59.53</v>
      </c>
      <c r="P15" s="9" t="n">
        <v>3</v>
      </c>
      <c r="Q15" s="7" t="n">
        <v>88.97</v>
      </c>
      <c r="R15" s="10" t="n">
        <f aca="false">IF(M15=0,0,N15/M15)</f>
        <v>0.0342887757835521</v>
      </c>
      <c r="S15" s="10" t="n">
        <f aca="false">IF(N15=0,0,P15/N15)</f>
        <v>0.0234375</v>
      </c>
      <c r="T15" s="7" t="n">
        <f aca="false">IF(N15=0,0,O15/N15)</f>
        <v>0.465078125</v>
      </c>
      <c r="U15" s="10" t="n">
        <f aca="false">IF(Q15=0,"",O15/Q15)</f>
        <v>0.669101944475666</v>
      </c>
      <c r="V15" s="21" t="n">
        <f aca="false">IF(O15=0,0,Q15/O15)</f>
        <v>1.49454056778095</v>
      </c>
      <c r="W15" s="9" t="n">
        <v>22</v>
      </c>
      <c r="X15" s="7" t="n">
        <v>19.03</v>
      </c>
      <c r="Y15" s="9" t="n">
        <v>0</v>
      </c>
      <c r="Z15" s="7" t="n">
        <v>0</v>
      </c>
      <c r="AA15" s="10" t="n">
        <f aca="false">IF(W15=0,0,Y15/W15)</f>
        <v>0</v>
      </c>
      <c r="AB15" s="10" t="str">
        <f aca="false">IF(Z15=0,"",X15/Z15)</f>
        <v/>
      </c>
      <c r="AC15" s="9" t="n">
        <v>19</v>
      </c>
      <c r="AD15" s="7" t="n">
        <v>17.08</v>
      </c>
      <c r="AE15" s="9" t="n">
        <v>0</v>
      </c>
      <c r="AF15" s="7" t="n">
        <v>0</v>
      </c>
      <c r="AG15" s="10" t="n">
        <f aca="false">IF(AC15=0,0,AE15/AC15)</f>
        <v>0</v>
      </c>
      <c r="AH15" s="9" t="n">
        <v>8</v>
      </c>
      <c r="AI15" s="7" t="n">
        <v>12.92</v>
      </c>
      <c r="AJ15" s="9" t="n">
        <v>21</v>
      </c>
      <c r="AK15" s="7" t="n">
        <v>13.52</v>
      </c>
      <c r="AL15" s="9" t="n">
        <v>1</v>
      </c>
      <c r="AM15" s="7" t="n">
        <v>0.65</v>
      </c>
      <c r="AN15" s="9" t="n">
        <v>98</v>
      </c>
      <c r="AO15" s="7" t="n">
        <v>32.44</v>
      </c>
      <c r="AP15" s="10" t="n">
        <f aca="false">IF(O15=0,0,AO15/O15)</f>
        <v>0.54493532672602</v>
      </c>
      <c r="AQ15" s="8" t="str">
        <f aca="false">IF(N15&lt;Rules!$B$10,"Under 20 clicks: too early",IF(P15=0,"20+ clicks, 0 orders: negate / pause",IF(N15&lt;Rules!$B$11,"Under 100 clicks: watch",IF(S15&gt;=Rules!$B$12,"4%+: keep",IF(S15&gt;=Rules!$B$13,"2% to 4%: hold at lower bid","Under 2%: pause")))))</f>
        <v>2% to 4%: hold at lower bid</v>
      </c>
      <c r="AR15" s="8" t="str">
        <f aca="false">IF(O15=0,"",IF(Q15=0,"Spend, no sales",IF(U15&gt;Rules!$B$24,"Above 3x break-even","Within 3x break-even")))</f>
        <v>Above 3x break-even</v>
      </c>
      <c r="AS15" s="8" t="str">
        <f aca="false">IF(OR(J15="",H15&lt;&gt;"ENABLED"),"",IF(J15&gt;Rules!$B$9,"Above +300% cap","OK"))</f>
        <v>Above +300% cap</v>
      </c>
      <c r="AT15" s="19" t="s">
        <v>145</v>
      </c>
      <c r="AU15" s="19" t="s">
        <v>175</v>
      </c>
      <c r="AV15" s="8" t="s">
        <v>124</v>
      </c>
      <c r="AW15" s="22"/>
      <c r="AX15" s="22"/>
    </row>
    <row r="16" customFormat="false" ht="35.05" hidden="false" customHeight="false" outlineLevel="0" collapsed="false">
      <c r="A16" s="18" t="s">
        <v>176</v>
      </c>
      <c r="B16" s="19" t="s">
        <v>177</v>
      </c>
      <c r="C16" s="19" t="s">
        <v>178</v>
      </c>
      <c r="D16" s="8" t="s">
        <v>108</v>
      </c>
      <c r="E16" s="8" t="s">
        <v>128</v>
      </c>
      <c r="F16" s="8" t="s">
        <v>120</v>
      </c>
      <c r="G16" s="19" t="s">
        <v>168</v>
      </c>
      <c r="H16" s="8" t="s">
        <v>130</v>
      </c>
      <c r="I16" s="7" t="n">
        <v>6.38</v>
      </c>
      <c r="J16" s="20"/>
      <c r="K16" s="7"/>
      <c r="L16" s="7" t="str">
        <f aca="false">IF(OR(K16="",J16=""),"",K16*(1+J16))</f>
        <v/>
      </c>
      <c r="M16" s="9" t="n">
        <v>5397</v>
      </c>
      <c r="N16" s="9" t="n">
        <v>50</v>
      </c>
      <c r="O16" s="7" t="n">
        <v>44.85</v>
      </c>
      <c r="P16" s="9" t="n">
        <v>2</v>
      </c>
      <c r="Q16" s="7" t="n">
        <v>61.98</v>
      </c>
      <c r="R16" s="10" t="n">
        <f aca="false">IF(M16=0,0,N16/M16)</f>
        <v>0.00926440615156569</v>
      </c>
      <c r="S16" s="10" t="n">
        <f aca="false">IF(N16=0,0,P16/N16)</f>
        <v>0.04</v>
      </c>
      <c r="T16" s="7" t="n">
        <f aca="false">IF(N16=0,0,O16/N16)</f>
        <v>0.897</v>
      </c>
      <c r="U16" s="10" t="n">
        <f aca="false">IF(Q16=0,"",O16/Q16)</f>
        <v>0.723620522749274</v>
      </c>
      <c r="V16" s="21" t="n">
        <f aca="false">IF(O16=0,0,Q16/O16)</f>
        <v>1.3819397993311</v>
      </c>
      <c r="W16" s="9" t="n">
        <v>28</v>
      </c>
      <c r="X16" s="7" t="n">
        <v>27.71</v>
      </c>
      <c r="Y16" s="9" t="n">
        <v>2</v>
      </c>
      <c r="Z16" s="7" t="n">
        <v>61.98</v>
      </c>
      <c r="AA16" s="10" t="n">
        <f aca="false">IF(W16=0,0,Y16/W16)</f>
        <v>0.0714285714285714</v>
      </c>
      <c r="AB16" s="10" t="n">
        <f aca="false">IF(Z16=0,"",X16/Z16)</f>
        <v>0.447079703130042</v>
      </c>
      <c r="AC16" s="9" t="n">
        <v>0</v>
      </c>
      <c r="AD16" s="7" t="n">
        <v>0</v>
      </c>
      <c r="AE16" s="9" t="n">
        <v>0</v>
      </c>
      <c r="AF16" s="7" t="n">
        <v>0</v>
      </c>
      <c r="AG16" s="10" t="n">
        <f aca="false">IF(AC16=0,0,AE16/AC16)</f>
        <v>0</v>
      </c>
      <c r="AH16" s="9" t="n">
        <v>19</v>
      </c>
      <c r="AI16" s="7" t="n">
        <v>23.58</v>
      </c>
      <c r="AJ16" s="9" t="n">
        <v>30</v>
      </c>
      <c r="AK16" s="7" t="n">
        <v>20.7</v>
      </c>
      <c r="AL16" s="9" t="n">
        <v>1</v>
      </c>
      <c r="AM16" s="7" t="n">
        <v>0.57</v>
      </c>
      <c r="AN16" s="9" t="n">
        <v>0</v>
      </c>
      <c r="AO16" s="7" t="n">
        <v>0</v>
      </c>
      <c r="AP16" s="10" t="n">
        <f aca="false">IF(O16=0,0,AO16/O16)</f>
        <v>0</v>
      </c>
      <c r="AQ16" s="8" t="str">
        <f aca="false">IF(N16&lt;Rules!$B$10,"Under 20 clicks: too early",IF(P16=0,"20+ clicks, 0 orders: negate / pause",IF(N16&lt;Rules!$B$11,"Under 100 clicks: watch",IF(S16&gt;=Rules!$B$12,"4%+: keep",IF(S16&gt;=Rules!$B$13,"2% to 4%: hold at lower bid","Under 2%: pause")))))</f>
        <v>Under 100 clicks: watch</v>
      </c>
      <c r="AR16" s="8" t="str">
        <f aca="false">IF(O16=0,"",IF(Q16=0,"Spend, no sales",IF(U16&gt;Rules!$B$24,"Above 3x break-even","Within 3x break-even")))</f>
        <v>Above 3x break-even</v>
      </c>
      <c r="AS16" s="8" t="str">
        <f aca="false">IF(OR(J16="",H16&lt;&gt;"ENABLED"),"",IF(J16&gt;Rules!$B$9,"Above +300% cap","OK"))</f>
        <v/>
      </c>
      <c r="AT16" s="19" t="s">
        <v>179</v>
      </c>
      <c r="AU16" s="19" t="s">
        <v>180</v>
      </c>
      <c r="AV16" s="8" t="s">
        <v>115</v>
      </c>
      <c r="AW16" s="22"/>
      <c r="AX16" s="22"/>
    </row>
    <row r="17" customFormat="false" ht="35.05" hidden="false" customHeight="false" outlineLevel="0" collapsed="false">
      <c r="A17" s="18" t="s">
        <v>181</v>
      </c>
      <c r="B17" s="19" t="s">
        <v>182</v>
      </c>
      <c r="C17" s="19" t="s">
        <v>183</v>
      </c>
      <c r="D17" s="8" t="s">
        <v>108</v>
      </c>
      <c r="E17" s="8" t="s">
        <v>128</v>
      </c>
      <c r="F17" s="8" t="s">
        <v>120</v>
      </c>
      <c r="G17" s="19" t="s">
        <v>129</v>
      </c>
      <c r="H17" s="8" t="s">
        <v>130</v>
      </c>
      <c r="I17" s="7" t="n">
        <v>30</v>
      </c>
      <c r="J17" s="20"/>
      <c r="K17" s="7"/>
      <c r="L17" s="7" t="str">
        <f aca="false">IF(OR(K17="",J17=""),"",K17*(1+J17))</f>
        <v/>
      </c>
      <c r="M17" s="9" t="n">
        <v>3481</v>
      </c>
      <c r="N17" s="9" t="n">
        <v>44</v>
      </c>
      <c r="O17" s="7" t="n">
        <v>42.81</v>
      </c>
      <c r="P17" s="9" t="n">
        <v>0</v>
      </c>
      <c r="Q17" s="7" t="n">
        <v>0</v>
      </c>
      <c r="R17" s="10" t="n">
        <f aca="false">IF(M17=0,0,N17/M17)</f>
        <v>0.0126400459638035</v>
      </c>
      <c r="S17" s="10" t="n">
        <f aca="false">IF(N17=0,0,P17/N17)</f>
        <v>0</v>
      </c>
      <c r="T17" s="7" t="n">
        <f aca="false">IF(N17=0,0,O17/N17)</f>
        <v>0.972954545454546</v>
      </c>
      <c r="U17" s="10" t="str">
        <f aca="false">IF(Q17=0,"",O17/Q17)</f>
        <v/>
      </c>
      <c r="V17" s="21" t="n">
        <f aca="false">IF(O17=0,0,Q17/O17)</f>
        <v>0</v>
      </c>
      <c r="W17" s="9" t="n">
        <v>0</v>
      </c>
      <c r="X17" s="7" t="n">
        <v>0</v>
      </c>
      <c r="Y17" s="9" t="n">
        <v>0</v>
      </c>
      <c r="Z17" s="7" t="n">
        <v>0</v>
      </c>
      <c r="AA17" s="10" t="n">
        <f aca="false">IF(W17=0,0,Y17/W17)</f>
        <v>0</v>
      </c>
      <c r="AB17" s="10" t="str">
        <f aca="false">IF(Z17=0,"",X17/Z17)</f>
        <v/>
      </c>
      <c r="AC17" s="9" t="n">
        <v>0</v>
      </c>
      <c r="AD17" s="7" t="n">
        <v>0</v>
      </c>
      <c r="AE17" s="9" t="n">
        <v>0</v>
      </c>
      <c r="AF17" s="7" t="n">
        <v>0</v>
      </c>
      <c r="AG17" s="10" t="n">
        <f aca="false">IF(AC17=0,0,AE17/AC17)</f>
        <v>0</v>
      </c>
      <c r="AH17" s="9" t="n">
        <v>19</v>
      </c>
      <c r="AI17" s="7" t="n">
        <v>27.01</v>
      </c>
      <c r="AJ17" s="9" t="n">
        <v>19</v>
      </c>
      <c r="AK17" s="7" t="n">
        <v>12.51</v>
      </c>
      <c r="AL17" s="9" t="n">
        <v>5</v>
      </c>
      <c r="AM17" s="7" t="n">
        <v>3.29</v>
      </c>
      <c r="AN17" s="9" t="n">
        <v>0</v>
      </c>
      <c r="AO17" s="7" t="n">
        <v>0</v>
      </c>
      <c r="AP17" s="10" t="n">
        <f aca="false">IF(O17=0,0,AO17/O17)</f>
        <v>0</v>
      </c>
      <c r="AQ17" s="8" t="str">
        <f aca="false">IF(N17&lt;Rules!$B$10,"Under 20 clicks: too early",IF(P17=0,"20+ clicks, 0 orders: negate / pause",IF(N17&lt;Rules!$B$11,"Under 100 clicks: watch",IF(S17&gt;=Rules!$B$12,"4%+: keep",IF(S17&gt;=Rules!$B$13,"2% to 4%: hold at lower bid","Under 2%: pause")))))</f>
        <v>20+ clicks, 0 orders: negate / pause</v>
      </c>
      <c r="AR17" s="8" t="str">
        <f aca="false">IF(O17=0,"",IF(Q17=0,"Spend, no sales",IF(U17&gt;Rules!$B$24,"Above 3x break-even","Within 3x break-even")))</f>
        <v>Spend, no sales</v>
      </c>
      <c r="AS17" s="8" t="str">
        <f aca="false">IF(OR(J17="",H17&lt;&gt;"ENABLED"),"",IF(J17&gt;Rules!$B$9,"Above +300% cap","OK"))</f>
        <v/>
      </c>
      <c r="AT17" s="19" t="s">
        <v>184</v>
      </c>
      <c r="AU17" s="19" t="s">
        <v>185</v>
      </c>
      <c r="AV17" s="8" t="s">
        <v>115</v>
      </c>
      <c r="AW17" s="22"/>
      <c r="AX17" s="22"/>
    </row>
    <row r="18" customFormat="false" ht="35.05" hidden="false" customHeight="false" outlineLevel="0" collapsed="false">
      <c r="A18" s="18" t="s">
        <v>186</v>
      </c>
      <c r="B18" s="19" t="s">
        <v>187</v>
      </c>
      <c r="C18" s="19" t="s">
        <v>188</v>
      </c>
      <c r="D18" s="8" t="s">
        <v>108</v>
      </c>
      <c r="E18" s="8" t="s">
        <v>161</v>
      </c>
      <c r="F18" s="8" t="s">
        <v>120</v>
      </c>
      <c r="G18" s="19" t="s">
        <v>121</v>
      </c>
      <c r="H18" s="8" t="s">
        <v>130</v>
      </c>
      <c r="I18" s="7" t="n">
        <v>7.11</v>
      </c>
      <c r="J18" s="20"/>
      <c r="K18" s="7"/>
      <c r="L18" s="7" t="str">
        <f aca="false">IF(OR(K18="",J18=""),"",K18*(1+J18))</f>
        <v/>
      </c>
      <c r="M18" s="9" t="n">
        <v>2574</v>
      </c>
      <c r="N18" s="9" t="n">
        <v>35</v>
      </c>
      <c r="O18" s="7" t="n">
        <v>36.98</v>
      </c>
      <c r="P18" s="9" t="n">
        <v>1</v>
      </c>
      <c r="Q18" s="7" t="n">
        <v>34.99</v>
      </c>
      <c r="R18" s="10" t="n">
        <f aca="false">IF(M18=0,0,N18/M18)</f>
        <v>0.0135975135975136</v>
      </c>
      <c r="S18" s="10" t="n">
        <f aca="false">IF(N18=0,0,P18/N18)</f>
        <v>0.0285714285714286</v>
      </c>
      <c r="T18" s="7" t="n">
        <f aca="false">IF(N18=0,0,O18/N18)</f>
        <v>1.05657142857143</v>
      </c>
      <c r="U18" s="10" t="n">
        <f aca="false">IF(Q18=0,"",O18/Q18)</f>
        <v>1.05687339239783</v>
      </c>
      <c r="V18" s="21" t="n">
        <f aca="false">IF(O18=0,0,Q18/O18)</f>
        <v>0.946187128177393</v>
      </c>
      <c r="W18" s="9" t="n">
        <v>0</v>
      </c>
      <c r="X18" s="7" t="n">
        <v>0</v>
      </c>
      <c r="Y18" s="9" t="n">
        <v>0</v>
      </c>
      <c r="Z18" s="7" t="n">
        <v>0</v>
      </c>
      <c r="AA18" s="10" t="n">
        <f aca="false">IF(W18=0,0,Y18/W18)</f>
        <v>0</v>
      </c>
      <c r="AB18" s="10" t="str">
        <f aca="false">IF(Z18=0,"",X18/Z18)</f>
        <v/>
      </c>
      <c r="AC18" s="9" t="n">
        <v>0</v>
      </c>
      <c r="AD18" s="7" t="n">
        <v>0</v>
      </c>
      <c r="AE18" s="9" t="n">
        <v>0</v>
      </c>
      <c r="AF18" s="7" t="n">
        <v>0</v>
      </c>
      <c r="AG18" s="10" t="n">
        <f aca="false">IF(AC18=0,0,AE18/AC18)</f>
        <v>0</v>
      </c>
      <c r="AH18" s="9" t="n">
        <v>26</v>
      </c>
      <c r="AI18" s="7" t="n">
        <v>31.61</v>
      </c>
      <c r="AJ18" s="9" t="n">
        <v>9</v>
      </c>
      <c r="AK18" s="7" t="n">
        <v>5.37</v>
      </c>
      <c r="AL18" s="9" t="n">
        <v>0</v>
      </c>
      <c r="AM18" s="7" t="n">
        <v>0</v>
      </c>
      <c r="AN18" s="9" t="n">
        <v>0</v>
      </c>
      <c r="AO18" s="7" t="n">
        <v>0</v>
      </c>
      <c r="AP18" s="10" t="n">
        <f aca="false">IF(O18=0,0,AO18/O18)</f>
        <v>0</v>
      </c>
      <c r="AQ18" s="8" t="str">
        <f aca="false">IF(N18&lt;Rules!$B$10,"Under 20 clicks: too early",IF(P18=0,"20+ clicks, 0 orders: negate / pause",IF(N18&lt;Rules!$B$11,"Under 100 clicks: watch",IF(S18&gt;=Rules!$B$12,"4%+: keep",IF(S18&gt;=Rules!$B$13,"2% to 4%: hold at lower bid","Under 2%: pause")))))</f>
        <v>Under 100 clicks: watch</v>
      </c>
      <c r="AR18" s="8" t="str">
        <f aca="false">IF(O18=0,"",IF(Q18=0,"Spend, no sales",IF(U18&gt;Rules!$B$24,"Above 3x break-even","Within 3x break-even")))</f>
        <v>Above 3x break-even</v>
      </c>
      <c r="AS18" s="8" t="str">
        <f aca="false">IF(OR(J18="",H18&lt;&gt;"ENABLED"),"",IF(J18&gt;Rules!$B$9,"Above +300% cap","OK"))</f>
        <v/>
      </c>
      <c r="AT18" s="19" t="s">
        <v>162</v>
      </c>
      <c r="AU18" s="19" t="s">
        <v>189</v>
      </c>
      <c r="AV18" s="8" t="s">
        <v>164</v>
      </c>
      <c r="AW18" s="22"/>
      <c r="AX18" s="22"/>
    </row>
    <row r="19" customFormat="false" ht="35.05" hidden="false" customHeight="false" outlineLevel="0" collapsed="false">
      <c r="A19" s="18" t="s">
        <v>190</v>
      </c>
      <c r="B19" s="19" t="s">
        <v>191</v>
      </c>
      <c r="C19" s="19" t="s">
        <v>192</v>
      </c>
      <c r="D19" s="8" t="s">
        <v>108</v>
      </c>
      <c r="E19" s="8" t="s">
        <v>119</v>
      </c>
      <c r="F19" s="8" t="s">
        <v>120</v>
      </c>
      <c r="G19" s="19" t="s">
        <v>121</v>
      </c>
      <c r="H19" s="8" t="s">
        <v>130</v>
      </c>
      <c r="I19" s="7" t="n">
        <v>49.63</v>
      </c>
      <c r="J19" s="20"/>
      <c r="K19" s="7"/>
      <c r="L19" s="7" t="str">
        <f aca="false">IF(OR(K19="",J19=""),"",K19*(1+J19))</f>
        <v/>
      </c>
      <c r="M19" s="9" t="n">
        <v>2383</v>
      </c>
      <c r="N19" s="9" t="n">
        <v>38</v>
      </c>
      <c r="O19" s="7" t="n">
        <v>32.9</v>
      </c>
      <c r="P19" s="9" t="n">
        <v>1</v>
      </c>
      <c r="Q19" s="7" t="n">
        <v>34.99</v>
      </c>
      <c r="R19" s="10" t="n">
        <f aca="false">IF(M19=0,0,N19/M19)</f>
        <v>0.0159462861938733</v>
      </c>
      <c r="S19" s="10" t="n">
        <f aca="false">IF(N19=0,0,P19/N19)</f>
        <v>0.0263157894736842</v>
      </c>
      <c r="T19" s="7" t="n">
        <f aca="false">IF(N19=0,0,O19/N19)</f>
        <v>0.86578947368421</v>
      </c>
      <c r="U19" s="10" t="n">
        <f aca="false">IF(Q19=0,"",O19/Q19)</f>
        <v>0.940268648185196</v>
      </c>
      <c r="V19" s="21" t="n">
        <f aca="false">IF(O19=0,0,Q19/O19)</f>
        <v>1.06352583586626</v>
      </c>
      <c r="W19" s="9" t="n">
        <v>1</v>
      </c>
      <c r="X19" s="7" t="n">
        <v>1.16</v>
      </c>
      <c r="Y19" s="9" t="n">
        <v>0</v>
      </c>
      <c r="Z19" s="7" t="n">
        <v>0</v>
      </c>
      <c r="AA19" s="10" t="n">
        <f aca="false">IF(W19=0,0,Y19/W19)</f>
        <v>0</v>
      </c>
      <c r="AB19" s="10" t="str">
        <f aca="false">IF(Z19=0,"",X19/Z19)</f>
        <v/>
      </c>
      <c r="AC19" s="9" t="n">
        <v>0</v>
      </c>
      <c r="AD19" s="7" t="n">
        <v>0</v>
      </c>
      <c r="AE19" s="9" t="n">
        <v>0</v>
      </c>
      <c r="AF19" s="7" t="n">
        <v>0</v>
      </c>
      <c r="AG19" s="10" t="n">
        <f aca="false">IF(AC19=0,0,AE19/AC19)</f>
        <v>0</v>
      </c>
      <c r="AH19" s="9" t="n">
        <v>16</v>
      </c>
      <c r="AI19" s="7" t="n">
        <v>20.58</v>
      </c>
      <c r="AJ19" s="9" t="n">
        <v>5</v>
      </c>
      <c r="AK19" s="7" t="n">
        <v>5.5</v>
      </c>
      <c r="AL19" s="9" t="n">
        <v>5</v>
      </c>
      <c r="AM19" s="7" t="n">
        <v>4.41</v>
      </c>
      <c r="AN19" s="9" t="n">
        <v>12</v>
      </c>
      <c r="AO19" s="7" t="n">
        <v>2.41</v>
      </c>
      <c r="AP19" s="10" t="n">
        <f aca="false">IF(O19=0,0,AO19/O19)</f>
        <v>0.0732522796352584</v>
      </c>
      <c r="AQ19" s="8" t="str">
        <f aca="false">IF(N19&lt;Rules!$B$10,"Under 20 clicks: too early",IF(P19=0,"20+ clicks, 0 orders: negate / pause",IF(N19&lt;Rules!$B$11,"Under 100 clicks: watch",IF(S19&gt;=Rules!$B$12,"4%+: keep",IF(S19&gt;=Rules!$B$13,"2% to 4%: hold at lower bid","Under 2%: pause")))))</f>
        <v>Under 100 clicks: watch</v>
      </c>
      <c r="AR19" s="8" t="str">
        <f aca="false">IF(O19=0,"",IF(Q19=0,"Spend, no sales",IF(U19&gt;Rules!$B$24,"Above 3x break-even","Within 3x break-even")))</f>
        <v>Above 3x break-even</v>
      </c>
      <c r="AS19" s="8" t="str">
        <f aca="false">IF(OR(J19="",H19&lt;&gt;"ENABLED"),"",IF(J19&gt;Rules!$B$9,"Above +300% cap","OK"))</f>
        <v/>
      </c>
      <c r="AT19" s="19" t="s">
        <v>162</v>
      </c>
      <c r="AU19" s="19" t="s">
        <v>193</v>
      </c>
      <c r="AV19" s="8" t="s">
        <v>164</v>
      </c>
      <c r="AW19" s="22"/>
      <c r="AX19" s="22"/>
    </row>
    <row r="20" customFormat="false" ht="35.05" hidden="false" customHeight="false" outlineLevel="0" collapsed="false">
      <c r="A20" s="18" t="s">
        <v>194</v>
      </c>
      <c r="B20" s="19" t="s">
        <v>195</v>
      </c>
      <c r="C20" s="19" t="s">
        <v>196</v>
      </c>
      <c r="D20" s="8" t="s">
        <v>108</v>
      </c>
      <c r="E20" s="8" t="s">
        <v>109</v>
      </c>
      <c r="F20" s="8" t="s">
        <v>110</v>
      </c>
      <c r="G20" s="19" t="s">
        <v>174</v>
      </c>
      <c r="H20" s="8" t="s">
        <v>112</v>
      </c>
      <c r="I20" s="7" t="n">
        <v>5.66</v>
      </c>
      <c r="J20" s="20" t="n">
        <v>3</v>
      </c>
      <c r="K20" s="7"/>
      <c r="L20" s="7" t="str">
        <f aca="false">IF(OR(K20="",J20=""),"",K20*(1+J20))</f>
        <v/>
      </c>
      <c r="M20" s="9" t="n">
        <v>1075</v>
      </c>
      <c r="N20" s="9" t="n">
        <v>23</v>
      </c>
      <c r="O20" s="7" t="n">
        <v>29.74</v>
      </c>
      <c r="P20" s="9" t="n">
        <v>0</v>
      </c>
      <c r="Q20" s="7" t="n">
        <v>0</v>
      </c>
      <c r="R20" s="10" t="n">
        <f aca="false">IF(M20=0,0,N20/M20)</f>
        <v>0.0213953488372093</v>
      </c>
      <c r="S20" s="10" t="n">
        <f aca="false">IF(N20=0,0,P20/N20)</f>
        <v>0</v>
      </c>
      <c r="T20" s="7" t="n">
        <f aca="false">IF(N20=0,0,O20/N20)</f>
        <v>1.29304347826087</v>
      </c>
      <c r="U20" s="10" t="str">
        <f aca="false">IF(Q20=0,"",O20/Q20)</f>
        <v/>
      </c>
      <c r="V20" s="21" t="n">
        <f aca="false">IF(O20=0,0,Q20/O20)</f>
        <v>0</v>
      </c>
      <c r="W20" s="9" t="n">
        <v>14</v>
      </c>
      <c r="X20" s="7" t="n">
        <v>19</v>
      </c>
      <c r="Y20" s="9" t="n">
        <v>0</v>
      </c>
      <c r="Z20" s="7" t="n">
        <v>0</v>
      </c>
      <c r="AA20" s="10" t="n">
        <f aca="false">IF(W20=0,0,Y20/W20)</f>
        <v>0</v>
      </c>
      <c r="AB20" s="10" t="str">
        <f aca="false">IF(Z20=0,"",X20/Z20)</f>
        <v/>
      </c>
      <c r="AC20" s="9" t="n">
        <v>7</v>
      </c>
      <c r="AD20" s="7" t="n">
        <v>7.4</v>
      </c>
      <c r="AE20" s="9" t="n">
        <v>0</v>
      </c>
      <c r="AF20" s="7" t="n">
        <v>0</v>
      </c>
      <c r="AG20" s="10" t="n">
        <f aca="false">IF(AC20=0,0,AE20/AC20)</f>
        <v>0</v>
      </c>
      <c r="AH20" s="9" t="n">
        <v>18</v>
      </c>
      <c r="AI20" s="7" t="n">
        <v>26.5</v>
      </c>
      <c r="AJ20" s="9" t="n">
        <v>4</v>
      </c>
      <c r="AK20" s="7" t="n">
        <v>2.59</v>
      </c>
      <c r="AL20" s="9" t="n">
        <v>1</v>
      </c>
      <c r="AM20" s="7" t="n">
        <v>0.65</v>
      </c>
      <c r="AN20" s="9" t="n">
        <v>0</v>
      </c>
      <c r="AO20" s="7" t="n">
        <v>0</v>
      </c>
      <c r="AP20" s="10" t="n">
        <f aca="false">IF(O20=0,0,AO20/O20)</f>
        <v>0</v>
      </c>
      <c r="AQ20" s="8" t="str">
        <f aca="false">IF(N20&lt;Rules!$B$10,"Under 20 clicks: too early",IF(P20=0,"20+ clicks, 0 orders: negate / pause",IF(N20&lt;Rules!$B$11,"Under 100 clicks: watch",IF(S20&gt;=Rules!$B$12,"4%+: keep",IF(S20&gt;=Rules!$B$13,"2% to 4%: hold at lower bid","Under 2%: pause")))))</f>
        <v>20+ clicks, 0 orders: negate / pause</v>
      </c>
      <c r="AR20" s="8" t="str">
        <f aca="false">IF(O20=0,"",IF(Q20=0,"Spend, no sales",IF(U20&gt;Rules!$B$24,"Above 3x break-even","Within 3x break-even")))</f>
        <v>Spend, no sales</v>
      </c>
      <c r="AS20" s="8" t="str">
        <f aca="false">IF(OR(J20="",H20&lt;&gt;"ENABLED"),"",IF(J20&gt;Rules!$B$9,"Above +300% cap","OK"))</f>
        <v>OK</v>
      </c>
      <c r="AT20" s="19" t="s">
        <v>145</v>
      </c>
      <c r="AU20" s="19" t="s">
        <v>197</v>
      </c>
      <c r="AV20" s="8" t="s">
        <v>124</v>
      </c>
      <c r="AW20" s="22"/>
      <c r="AX20" s="22"/>
    </row>
    <row r="21" customFormat="false" ht="35.05" hidden="false" customHeight="false" outlineLevel="0" collapsed="false">
      <c r="A21" s="18" t="s">
        <v>198</v>
      </c>
      <c r="B21" s="19" t="s">
        <v>199</v>
      </c>
      <c r="C21" s="19" t="s">
        <v>200</v>
      </c>
      <c r="D21" s="8" t="s">
        <v>108</v>
      </c>
      <c r="E21" s="8" t="s">
        <v>201</v>
      </c>
      <c r="F21" s="8" t="s">
        <v>120</v>
      </c>
      <c r="G21" s="19" t="s">
        <v>168</v>
      </c>
      <c r="H21" s="8" t="s">
        <v>112</v>
      </c>
      <c r="I21" s="7" t="n">
        <v>12.14</v>
      </c>
      <c r="J21" s="20" t="n">
        <v>3.3</v>
      </c>
      <c r="K21" s="7"/>
      <c r="L21" s="7" t="str">
        <f aca="false">IF(OR(K21="",J21=""),"",K21*(1+J21))</f>
        <v/>
      </c>
      <c r="M21" s="9" t="n">
        <v>1723</v>
      </c>
      <c r="N21" s="9" t="n">
        <v>18</v>
      </c>
      <c r="O21" s="7" t="n">
        <v>28.44</v>
      </c>
      <c r="P21" s="9" t="n">
        <v>0</v>
      </c>
      <c r="Q21" s="7" t="n">
        <v>0</v>
      </c>
      <c r="R21" s="10" t="n">
        <f aca="false">IF(M21=0,0,N21/M21)</f>
        <v>0.0104468949506674</v>
      </c>
      <c r="S21" s="10" t="n">
        <f aca="false">IF(N21=0,0,P21/N21)</f>
        <v>0</v>
      </c>
      <c r="T21" s="7" t="n">
        <f aca="false">IF(N21=0,0,O21/N21)</f>
        <v>1.58</v>
      </c>
      <c r="U21" s="10" t="str">
        <f aca="false">IF(Q21=0,"",O21/Q21)</f>
        <v/>
      </c>
      <c r="V21" s="21" t="n">
        <f aca="false">IF(O21=0,0,Q21/O21)</f>
        <v>0</v>
      </c>
      <c r="W21" s="9" t="n">
        <v>7</v>
      </c>
      <c r="X21" s="7" t="n">
        <v>10.12</v>
      </c>
      <c r="Y21" s="9" t="n">
        <v>0</v>
      </c>
      <c r="Z21" s="7" t="n">
        <v>0</v>
      </c>
      <c r="AA21" s="10" t="n">
        <f aca="false">IF(W21=0,0,Y21/W21)</f>
        <v>0</v>
      </c>
      <c r="AB21" s="10" t="str">
        <f aca="false">IF(Z21=0,"",X21/Z21)</f>
        <v/>
      </c>
      <c r="AC21" s="9" t="n">
        <v>5</v>
      </c>
      <c r="AD21" s="7" t="n">
        <v>6.12</v>
      </c>
      <c r="AE21" s="9" t="n">
        <v>0</v>
      </c>
      <c r="AF21" s="7" t="n">
        <v>0</v>
      </c>
      <c r="AG21" s="10" t="n">
        <f aca="false">IF(AC21=0,0,AE21/AC21)</f>
        <v>0</v>
      </c>
      <c r="AH21" s="9" t="n">
        <v>9</v>
      </c>
      <c r="AI21" s="7" t="n">
        <v>19.87</v>
      </c>
      <c r="AJ21" s="9" t="n">
        <v>7</v>
      </c>
      <c r="AK21" s="7" t="n">
        <v>6.71</v>
      </c>
      <c r="AL21" s="9" t="n">
        <v>2</v>
      </c>
      <c r="AM21" s="7" t="n">
        <v>1.86</v>
      </c>
      <c r="AN21" s="9" t="n">
        <v>0</v>
      </c>
      <c r="AO21" s="7" t="n">
        <v>0</v>
      </c>
      <c r="AP21" s="10" t="n">
        <f aca="false">IF(O21=0,0,AO21/O21)</f>
        <v>0</v>
      </c>
      <c r="AQ21" s="8" t="str">
        <f aca="false">IF(N21&lt;Rules!$B$10,"Under 20 clicks: too early",IF(P21=0,"20+ clicks, 0 orders: negate / pause",IF(N21&lt;Rules!$B$11,"Under 100 clicks: watch",IF(S21&gt;=Rules!$B$12,"4%+: keep",IF(S21&gt;=Rules!$B$13,"2% to 4%: hold at lower bid","Under 2%: pause")))))</f>
        <v>Under 20 clicks: too early</v>
      </c>
      <c r="AR21" s="8" t="str">
        <f aca="false">IF(O21=0,"",IF(Q21=0,"Spend, no sales",IF(U21&gt;Rules!$B$24,"Above 3x break-even","Within 3x break-even")))</f>
        <v>Spend, no sales</v>
      </c>
      <c r="AS21" s="8" t="str">
        <f aca="false">IF(OR(J21="",H21&lt;&gt;"ENABLED"),"",IF(J21&gt;Rules!$B$9,"Above +300% cap","OK"))</f>
        <v>Above +300% cap</v>
      </c>
      <c r="AT21" s="19" t="s">
        <v>145</v>
      </c>
      <c r="AU21" s="19" t="s">
        <v>202</v>
      </c>
      <c r="AV21" s="8" t="s">
        <v>124</v>
      </c>
      <c r="AW21" s="22"/>
      <c r="AX21" s="22"/>
    </row>
    <row r="22" customFormat="false" ht="35.05" hidden="false" customHeight="false" outlineLevel="0" collapsed="false">
      <c r="A22" s="18" t="s">
        <v>203</v>
      </c>
      <c r="B22" s="19" t="s">
        <v>204</v>
      </c>
      <c r="C22" s="19" t="s">
        <v>205</v>
      </c>
      <c r="D22" s="8" t="s">
        <v>108</v>
      </c>
      <c r="E22" s="8" t="s">
        <v>109</v>
      </c>
      <c r="F22" s="8" t="s">
        <v>110</v>
      </c>
      <c r="G22" s="19" t="s">
        <v>174</v>
      </c>
      <c r="H22" s="8" t="s">
        <v>130</v>
      </c>
      <c r="I22" s="7" t="n">
        <v>5.66</v>
      </c>
      <c r="J22" s="20"/>
      <c r="K22" s="7"/>
      <c r="L22" s="7" t="str">
        <f aca="false">IF(OR(K22="",J22=""),"",K22*(1+J22))</f>
        <v/>
      </c>
      <c r="M22" s="9" t="n">
        <v>1674</v>
      </c>
      <c r="N22" s="9" t="n">
        <v>24</v>
      </c>
      <c r="O22" s="7" t="n">
        <v>28.09</v>
      </c>
      <c r="P22" s="9" t="n">
        <v>0</v>
      </c>
      <c r="Q22" s="7" t="n">
        <v>0</v>
      </c>
      <c r="R22" s="10" t="n">
        <f aca="false">IF(M22=0,0,N22/M22)</f>
        <v>0.014336917562724</v>
      </c>
      <c r="S22" s="10" t="n">
        <f aca="false">IF(N22=0,0,P22/N22)</f>
        <v>0</v>
      </c>
      <c r="T22" s="7" t="n">
        <f aca="false">IF(N22=0,0,O22/N22)</f>
        <v>1.17041666666667</v>
      </c>
      <c r="U22" s="10" t="str">
        <f aca="false">IF(Q22=0,"",O22/Q22)</f>
        <v/>
      </c>
      <c r="V22" s="21" t="n">
        <f aca="false">IF(O22=0,0,Q22/O22)</f>
        <v>0</v>
      </c>
      <c r="W22" s="9" t="n">
        <v>11</v>
      </c>
      <c r="X22" s="7" t="n">
        <v>9.93</v>
      </c>
      <c r="Y22" s="9" t="n">
        <v>0</v>
      </c>
      <c r="Z22" s="7" t="n">
        <v>0</v>
      </c>
      <c r="AA22" s="10" t="n">
        <f aca="false">IF(W22=0,0,Y22/W22)</f>
        <v>0</v>
      </c>
      <c r="AB22" s="10" t="str">
        <f aca="false">IF(Z22=0,"",X22/Z22)</f>
        <v/>
      </c>
      <c r="AC22" s="9" t="n">
        <v>0</v>
      </c>
      <c r="AD22" s="7" t="n">
        <v>0</v>
      </c>
      <c r="AE22" s="9" t="n">
        <v>0</v>
      </c>
      <c r="AF22" s="7" t="n">
        <v>0</v>
      </c>
      <c r="AG22" s="10" t="n">
        <f aca="false">IF(AC22=0,0,AE22/AC22)</f>
        <v>0</v>
      </c>
      <c r="AH22" s="9" t="n">
        <v>9</v>
      </c>
      <c r="AI22" s="7" t="n">
        <v>17.65</v>
      </c>
      <c r="AJ22" s="9" t="n">
        <v>15</v>
      </c>
      <c r="AK22" s="7" t="n">
        <v>10.44</v>
      </c>
      <c r="AL22" s="9" t="n">
        <v>0</v>
      </c>
      <c r="AM22" s="7" t="n">
        <v>0</v>
      </c>
      <c r="AN22" s="9" t="n">
        <v>0</v>
      </c>
      <c r="AO22" s="7" t="n">
        <v>0</v>
      </c>
      <c r="AP22" s="10" t="n">
        <f aca="false">IF(O22=0,0,AO22/O22)</f>
        <v>0</v>
      </c>
      <c r="AQ22" s="8" t="str">
        <f aca="false">IF(N22&lt;Rules!$B$10,"Under 20 clicks: too early",IF(P22=0,"20+ clicks, 0 orders: negate / pause",IF(N22&lt;Rules!$B$11,"Under 100 clicks: watch",IF(S22&gt;=Rules!$B$12,"4%+: keep",IF(S22&gt;=Rules!$B$13,"2% to 4%: hold at lower bid","Under 2%: pause")))))</f>
        <v>20+ clicks, 0 orders: negate / pause</v>
      </c>
      <c r="AR22" s="8" t="str">
        <f aca="false">IF(O22=0,"",IF(Q22=0,"Spend, no sales",IF(U22&gt;Rules!$B$24,"Above 3x break-even","Within 3x break-even")))</f>
        <v>Spend, no sales</v>
      </c>
      <c r="AS22" s="8" t="str">
        <f aca="false">IF(OR(J22="",H22&lt;&gt;"ENABLED"),"",IF(J22&gt;Rules!$B$9,"Above +300% cap","OK"))</f>
        <v/>
      </c>
      <c r="AT22" s="19" t="s">
        <v>162</v>
      </c>
      <c r="AU22" s="19" t="s">
        <v>206</v>
      </c>
      <c r="AV22" s="8" t="s">
        <v>164</v>
      </c>
      <c r="AW22" s="22"/>
      <c r="AX22" s="22"/>
    </row>
    <row r="23" customFormat="false" ht="35.05" hidden="false" customHeight="false" outlineLevel="0" collapsed="false">
      <c r="A23" s="18" t="s">
        <v>207</v>
      </c>
      <c r="B23" s="19" t="s">
        <v>208</v>
      </c>
      <c r="C23" s="19" t="s">
        <v>209</v>
      </c>
      <c r="D23" s="8" t="s">
        <v>108</v>
      </c>
      <c r="E23" s="8" t="s">
        <v>128</v>
      </c>
      <c r="F23" s="8" t="s">
        <v>120</v>
      </c>
      <c r="G23" s="19" t="s">
        <v>168</v>
      </c>
      <c r="H23" s="8" t="s">
        <v>130</v>
      </c>
      <c r="I23" s="7" t="n">
        <v>7.64</v>
      </c>
      <c r="J23" s="20"/>
      <c r="K23" s="7"/>
      <c r="L23" s="7" t="str">
        <f aca="false">IF(OR(K23="",J23=""),"",K23*(1+J23))</f>
        <v/>
      </c>
      <c r="M23" s="9" t="n">
        <v>2560</v>
      </c>
      <c r="N23" s="9" t="n">
        <v>32</v>
      </c>
      <c r="O23" s="7" t="n">
        <v>27.55</v>
      </c>
      <c r="P23" s="9" t="n">
        <v>0</v>
      </c>
      <c r="Q23" s="7" t="n">
        <v>0</v>
      </c>
      <c r="R23" s="10" t="n">
        <f aca="false">IF(M23=0,0,N23/M23)</f>
        <v>0.0125</v>
      </c>
      <c r="S23" s="10" t="n">
        <f aca="false">IF(N23=0,0,P23/N23)</f>
        <v>0</v>
      </c>
      <c r="T23" s="7" t="n">
        <f aca="false">IF(N23=0,0,O23/N23)</f>
        <v>0.8609375</v>
      </c>
      <c r="U23" s="10" t="str">
        <f aca="false">IF(Q23=0,"",O23/Q23)</f>
        <v/>
      </c>
      <c r="V23" s="21" t="n">
        <f aca="false">IF(O23=0,0,Q23/O23)</f>
        <v>0</v>
      </c>
      <c r="W23" s="9" t="n">
        <v>0</v>
      </c>
      <c r="X23" s="7" t="n">
        <v>0</v>
      </c>
      <c r="Y23" s="9" t="n">
        <v>0</v>
      </c>
      <c r="Z23" s="7" t="n">
        <v>0</v>
      </c>
      <c r="AA23" s="10" t="n">
        <f aca="false">IF(W23=0,0,Y23/W23)</f>
        <v>0</v>
      </c>
      <c r="AB23" s="10" t="str">
        <f aca="false">IF(Z23=0,"",X23/Z23)</f>
        <v/>
      </c>
      <c r="AC23" s="9" t="n">
        <v>0</v>
      </c>
      <c r="AD23" s="7" t="n">
        <v>0</v>
      </c>
      <c r="AE23" s="9" t="n">
        <v>0</v>
      </c>
      <c r="AF23" s="7" t="n">
        <v>0</v>
      </c>
      <c r="AG23" s="10" t="n">
        <f aca="false">IF(AC23=0,0,AE23/AC23)</f>
        <v>0</v>
      </c>
      <c r="AH23" s="9" t="n">
        <v>8</v>
      </c>
      <c r="AI23" s="7" t="n">
        <v>11.27</v>
      </c>
      <c r="AJ23" s="9" t="n">
        <v>21</v>
      </c>
      <c r="AK23" s="7" t="n">
        <v>14.2</v>
      </c>
      <c r="AL23" s="9" t="n">
        <v>3</v>
      </c>
      <c r="AM23" s="7" t="n">
        <v>2.08</v>
      </c>
      <c r="AN23" s="9" t="n">
        <v>0</v>
      </c>
      <c r="AO23" s="7" t="n">
        <v>0</v>
      </c>
      <c r="AP23" s="10" t="n">
        <f aca="false">IF(O23=0,0,AO23/O23)</f>
        <v>0</v>
      </c>
      <c r="AQ23" s="8" t="str">
        <f aca="false">IF(N23&lt;Rules!$B$10,"Under 20 clicks: too early",IF(P23=0,"20+ clicks, 0 orders: negate / pause",IF(N23&lt;Rules!$B$11,"Under 100 clicks: watch",IF(S23&gt;=Rules!$B$12,"4%+: keep",IF(S23&gt;=Rules!$B$13,"2% to 4%: hold at lower bid","Under 2%: pause")))))</f>
        <v>20+ clicks, 0 orders: negate / pause</v>
      </c>
      <c r="AR23" s="8" t="str">
        <f aca="false">IF(O23=0,"",IF(Q23=0,"Spend, no sales",IF(U23&gt;Rules!$B$24,"Above 3x break-even","Within 3x break-even")))</f>
        <v>Spend, no sales</v>
      </c>
      <c r="AS23" s="8" t="str">
        <f aca="false">IF(OR(J23="",H23&lt;&gt;"ENABLED"),"",IF(J23&gt;Rules!$B$9,"Above +300% cap","OK"))</f>
        <v/>
      </c>
      <c r="AT23" s="19" t="s">
        <v>169</v>
      </c>
      <c r="AU23" s="19" t="s">
        <v>210</v>
      </c>
      <c r="AV23" s="8" t="s">
        <v>164</v>
      </c>
      <c r="AW23" s="22"/>
      <c r="AX23" s="22"/>
    </row>
    <row r="24" customFormat="false" ht="35.05" hidden="false" customHeight="false" outlineLevel="0" collapsed="false">
      <c r="A24" s="18" t="s">
        <v>211</v>
      </c>
      <c r="B24" s="19" t="s">
        <v>212</v>
      </c>
      <c r="C24" s="19" t="s">
        <v>213</v>
      </c>
      <c r="D24" s="8" t="s">
        <v>108</v>
      </c>
      <c r="E24" s="8" t="s">
        <v>119</v>
      </c>
      <c r="F24" s="8" t="s">
        <v>120</v>
      </c>
      <c r="G24" s="19" t="s">
        <v>168</v>
      </c>
      <c r="H24" s="8" t="s">
        <v>130</v>
      </c>
      <c r="I24" s="7" t="n">
        <v>9.34</v>
      </c>
      <c r="J24" s="20"/>
      <c r="K24" s="7"/>
      <c r="L24" s="7" t="str">
        <f aca="false">IF(OR(K24="",J24=""),"",K24*(1+J24))</f>
        <v/>
      </c>
      <c r="M24" s="9" t="n">
        <v>5076</v>
      </c>
      <c r="N24" s="9" t="n">
        <v>28</v>
      </c>
      <c r="O24" s="7" t="n">
        <v>27.35</v>
      </c>
      <c r="P24" s="9" t="n">
        <v>0</v>
      </c>
      <c r="Q24" s="7" t="n">
        <v>0</v>
      </c>
      <c r="R24" s="10" t="n">
        <f aca="false">IF(M24=0,0,N24/M24)</f>
        <v>0.00551615445232467</v>
      </c>
      <c r="S24" s="10" t="n">
        <f aca="false">IF(N24=0,0,P24/N24)</f>
        <v>0</v>
      </c>
      <c r="T24" s="7" t="n">
        <f aca="false">IF(N24=0,0,O24/N24)</f>
        <v>0.976785714285714</v>
      </c>
      <c r="U24" s="10" t="str">
        <f aca="false">IF(Q24=0,"",O24/Q24)</f>
        <v/>
      </c>
      <c r="V24" s="21" t="n">
        <f aca="false">IF(O24=0,0,Q24/O24)</f>
        <v>0</v>
      </c>
      <c r="W24" s="9" t="n">
        <v>10</v>
      </c>
      <c r="X24" s="7" t="n">
        <v>9</v>
      </c>
      <c r="Y24" s="9" t="n">
        <v>0</v>
      </c>
      <c r="Z24" s="7" t="n">
        <v>0</v>
      </c>
      <c r="AA24" s="10" t="n">
        <f aca="false">IF(W24=0,0,Y24/W24)</f>
        <v>0</v>
      </c>
      <c r="AB24" s="10" t="str">
        <f aca="false">IF(Z24=0,"",X24/Z24)</f>
        <v/>
      </c>
      <c r="AC24" s="9" t="n">
        <v>0</v>
      </c>
      <c r="AD24" s="7" t="n">
        <v>0</v>
      </c>
      <c r="AE24" s="9" t="n">
        <v>0</v>
      </c>
      <c r="AF24" s="7" t="n">
        <v>0</v>
      </c>
      <c r="AG24" s="10" t="n">
        <f aca="false">IF(AC24=0,0,AE24/AC24)</f>
        <v>0</v>
      </c>
      <c r="AH24" s="9" t="n">
        <v>13</v>
      </c>
      <c r="AI24" s="7" t="n">
        <v>13.13</v>
      </c>
      <c r="AJ24" s="9" t="n">
        <v>14</v>
      </c>
      <c r="AK24" s="7" t="n">
        <v>13.21</v>
      </c>
      <c r="AL24" s="9" t="n">
        <v>1</v>
      </c>
      <c r="AM24" s="7" t="n">
        <v>1.01</v>
      </c>
      <c r="AN24" s="9" t="n">
        <v>0</v>
      </c>
      <c r="AO24" s="7" t="n">
        <v>0</v>
      </c>
      <c r="AP24" s="10" t="n">
        <f aca="false">IF(O24=0,0,AO24/O24)</f>
        <v>0</v>
      </c>
      <c r="AQ24" s="8" t="str">
        <f aca="false">IF(N24&lt;Rules!$B$10,"Under 20 clicks: too early",IF(P24=0,"20+ clicks, 0 orders: negate / pause",IF(N24&lt;Rules!$B$11,"Under 100 clicks: watch",IF(S24&gt;=Rules!$B$12,"4%+: keep",IF(S24&gt;=Rules!$B$13,"2% to 4%: hold at lower bid","Under 2%: pause")))))</f>
        <v>20+ clicks, 0 orders: negate / pause</v>
      </c>
      <c r="AR24" s="8" t="str">
        <f aca="false">IF(O24=0,"",IF(Q24=0,"Spend, no sales",IF(U24&gt;Rules!$B$24,"Above 3x break-even","Within 3x break-even")))</f>
        <v>Spend, no sales</v>
      </c>
      <c r="AS24" s="8" t="str">
        <f aca="false">IF(OR(J24="",H24&lt;&gt;"ENABLED"),"",IF(J24&gt;Rules!$B$9,"Above +300% cap","OK"))</f>
        <v/>
      </c>
      <c r="AT24" s="19" t="s">
        <v>169</v>
      </c>
      <c r="AU24" s="19" t="s">
        <v>214</v>
      </c>
      <c r="AV24" s="8" t="s">
        <v>164</v>
      </c>
      <c r="AW24" s="22"/>
      <c r="AX24" s="22"/>
    </row>
    <row r="25" customFormat="false" ht="23.85" hidden="false" customHeight="false" outlineLevel="0" collapsed="false">
      <c r="A25" s="18" t="s">
        <v>215</v>
      </c>
      <c r="B25" s="19" t="s">
        <v>216</v>
      </c>
      <c r="C25" s="19" t="s">
        <v>217</v>
      </c>
      <c r="D25" s="8" t="s">
        <v>141</v>
      </c>
      <c r="E25" s="8" t="s">
        <v>142</v>
      </c>
      <c r="F25" s="8" t="s">
        <v>143</v>
      </c>
      <c r="G25" s="19" t="s">
        <v>144</v>
      </c>
      <c r="H25" s="8" t="s">
        <v>112</v>
      </c>
      <c r="I25" s="7" t="n">
        <v>4.5</v>
      </c>
      <c r="J25" s="20" t="n">
        <v>0</v>
      </c>
      <c r="K25" s="7"/>
      <c r="L25" s="7" t="str">
        <f aca="false">IF(OR(K25="",J25=""),"",K25*(1+J25))</f>
        <v/>
      </c>
      <c r="M25" s="9" t="n">
        <v>6341</v>
      </c>
      <c r="N25" s="9" t="n">
        <v>31</v>
      </c>
      <c r="O25" s="7" t="n">
        <v>25.24</v>
      </c>
      <c r="P25" s="9" t="n">
        <v>0</v>
      </c>
      <c r="Q25" s="7" t="n">
        <v>0</v>
      </c>
      <c r="R25" s="10" t="n">
        <f aca="false">IF(M25=0,0,N25/M25)</f>
        <v>0.0048888187982968</v>
      </c>
      <c r="S25" s="10" t="n">
        <f aca="false">IF(N25=0,0,P25/N25)</f>
        <v>0</v>
      </c>
      <c r="T25" s="7" t="n">
        <f aca="false">IF(N25=0,0,O25/N25)</f>
        <v>0.814193548387097</v>
      </c>
      <c r="U25" s="10" t="str">
        <f aca="false">IF(Q25=0,"",O25/Q25)</f>
        <v/>
      </c>
      <c r="V25" s="21" t="n">
        <f aca="false">IF(O25=0,0,Q25/O25)</f>
        <v>0</v>
      </c>
      <c r="W25" s="9" t="n">
        <v>26</v>
      </c>
      <c r="X25" s="7" t="n">
        <v>21.14</v>
      </c>
      <c r="Y25" s="9" t="n">
        <v>0</v>
      </c>
      <c r="Z25" s="7" t="n">
        <v>0</v>
      </c>
      <c r="AA25" s="10" t="n">
        <f aca="false">IF(W25=0,0,Y25/W25)</f>
        <v>0</v>
      </c>
      <c r="AB25" s="10" t="str">
        <f aca="false">IF(Z25=0,"",X25/Z25)</f>
        <v/>
      </c>
      <c r="AC25" s="9" t="n">
        <v>19</v>
      </c>
      <c r="AD25" s="7" t="n">
        <v>15.58</v>
      </c>
      <c r="AE25" s="9" t="n">
        <v>0</v>
      </c>
      <c r="AF25" s="7" t="n">
        <v>0</v>
      </c>
      <c r="AG25" s="10" t="n">
        <f aca="false">IF(AC25=0,0,AE25/AC25)</f>
        <v>0</v>
      </c>
      <c r="AH25" s="9" t="n">
        <v>4</v>
      </c>
      <c r="AI25" s="7" t="n">
        <v>3.2</v>
      </c>
      <c r="AJ25" s="9" t="n">
        <v>19</v>
      </c>
      <c r="AK25" s="7" t="n">
        <v>15.58</v>
      </c>
      <c r="AL25" s="9" t="n">
        <v>8</v>
      </c>
      <c r="AM25" s="7" t="n">
        <v>6.46</v>
      </c>
      <c r="AN25" s="9" t="n">
        <v>0</v>
      </c>
      <c r="AO25" s="7" t="n">
        <v>0</v>
      </c>
      <c r="AP25" s="10" t="n">
        <f aca="false">IF(O25=0,0,AO25/O25)</f>
        <v>0</v>
      </c>
      <c r="AQ25" s="8" t="str">
        <f aca="false">IF(N25&lt;Rules!$B$10,"Under 20 clicks: too early",IF(P25=0,"20+ clicks, 0 orders: negate / pause",IF(N25&lt;Rules!$B$11,"Under 100 clicks: watch",IF(S25&gt;=Rules!$B$12,"4%+: keep",IF(S25&gt;=Rules!$B$13,"2% to 4%: hold at lower bid","Under 2%: pause")))))</f>
        <v>20+ clicks, 0 orders: negate / pause</v>
      </c>
      <c r="AR25" s="8" t="str">
        <f aca="false">IF(O25=0,"",IF(Q25=0,"Spend, no sales",IF(U25&gt;Rules!$B$24,"Above 3x break-even","Within 3x break-even")))</f>
        <v>Spend, no sales</v>
      </c>
      <c r="AS25" s="8" t="str">
        <f aca="false">IF(OR(J25="",H25&lt;&gt;"ENABLED"),"",IF(J25&gt;Rules!$B$9,"Above +300% cap","OK"))</f>
        <v>OK</v>
      </c>
      <c r="AT25" s="19" t="s">
        <v>145</v>
      </c>
      <c r="AU25" s="19" t="s">
        <v>146</v>
      </c>
      <c r="AV25" s="8" t="s">
        <v>124</v>
      </c>
      <c r="AW25" s="22"/>
      <c r="AX25" s="22"/>
    </row>
    <row r="26" customFormat="false" ht="35.05" hidden="false" customHeight="false" outlineLevel="0" collapsed="false">
      <c r="A26" s="18" t="s">
        <v>218</v>
      </c>
      <c r="B26" s="19" t="s">
        <v>219</v>
      </c>
      <c r="C26" s="19" t="s">
        <v>220</v>
      </c>
      <c r="D26" s="8" t="s">
        <v>108</v>
      </c>
      <c r="E26" s="8" t="s">
        <v>221</v>
      </c>
      <c r="F26" s="8" t="s">
        <v>120</v>
      </c>
      <c r="G26" s="19" t="s">
        <v>121</v>
      </c>
      <c r="H26" s="8" t="s">
        <v>130</v>
      </c>
      <c r="I26" s="7" t="n">
        <v>40.83</v>
      </c>
      <c r="J26" s="20"/>
      <c r="K26" s="7"/>
      <c r="L26" s="7" t="str">
        <f aca="false">IF(OR(K26="",J26=""),"",K26*(1+J26))</f>
        <v/>
      </c>
      <c r="M26" s="9" t="n">
        <v>1818</v>
      </c>
      <c r="N26" s="9" t="n">
        <v>79</v>
      </c>
      <c r="O26" s="7" t="n">
        <v>24.07</v>
      </c>
      <c r="P26" s="9" t="n">
        <v>0</v>
      </c>
      <c r="Q26" s="7" t="n">
        <v>0</v>
      </c>
      <c r="R26" s="10" t="n">
        <f aca="false">IF(M26=0,0,N26/M26)</f>
        <v>0.0434543454345435</v>
      </c>
      <c r="S26" s="10" t="n">
        <f aca="false">IF(N26=0,0,P26/N26)</f>
        <v>0</v>
      </c>
      <c r="T26" s="7" t="n">
        <f aca="false">IF(N26=0,0,O26/N26)</f>
        <v>0.304683544303797</v>
      </c>
      <c r="U26" s="10" t="str">
        <f aca="false">IF(Q26=0,"",O26/Q26)</f>
        <v/>
      </c>
      <c r="V26" s="21" t="n">
        <f aca="false">IF(O26=0,0,Q26/O26)</f>
        <v>0</v>
      </c>
      <c r="W26" s="9" t="n">
        <v>0</v>
      </c>
      <c r="X26" s="7" t="n">
        <v>0</v>
      </c>
      <c r="Y26" s="9" t="n">
        <v>0</v>
      </c>
      <c r="Z26" s="7" t="n">
        <v>0</v>
      </c>
      <c r="AA26" s="10" t="n">
        <f aca="false">IF(W26=0,0,Y26/W26)</f>
        <v>0</v>
      </c>
      <c r="AB26" s="10" t="str">
        <f aca="false">IF(Z26=0,"",X26/Z26)</f>
        <v/>
      </c>
      <c r="AC26" s="9" t="n">
        <v>0</v>
      </c>
      <c r="AD26" s="7" t="n">
        <v>0</v>
      </c>
      <c r="AE26" s="9" t="n">
        <v>0</v>
      </c>
      <c r="AF26" s="7" t="n">
        <v>0</v>
      </c>
      <c r="AG26" s="10" t="n">
        <f aca="false">IF(AC26=0,0,AE26/AC26)</f>
        <v>0</v>
      </c>
      <c r="AH26" s="9" t="n">
        <v>4</v>
      </c>
      <c r="AI26" s="7" t="n">
        <v>4.8</v>
      </c>
      <c r="AJ26" s="9" t="n">
        <v>2</v>
      </c>
      <c r="AK26" s="7" t="n">
        <v>1.93</v>
      </c>
      <c r="AL26" s="9" t="n">
        <v>1</v>
      </c>
      <c r="AM26" s="7" t="n">
        <v>0.78</v>
      </c>
      <c r="AN26" s="9" t="n">
        <v>72</v>
      </c>
      <c r="AO26" s="7" t="n">
        <v>16.56</v>
      </c>
      <c r="AP26" s="10" t="n">
        <f aca="false">IF(O26=0,0,AO26/O26)</f>
        <v>0.68799335272123</v>
      </c>
      <c r="AQ26" s="8" t="str">
        <f aca="false">IF(N26&lt;Rules!$B$10,"Under 20 clicks: too early",IF(P26=0,"20+ clicks, 0 orders: negate / pause",IF(N26&lt;Rules!$B$11,"Under 100 clicks: watch",IF(S26&gt;=Rules!$B$12,"4%+: keep",IF(S26&gt;=Rules!$B$13,"2% to 4%: hold at lower bid","Under 2%: pause")))))</f>
        <v>20+ clicks, 0 orders: negate / pause</v>
      </c>
      <c r="AR26" s="8" t="str">
        <f aca="false">IF(O26=0,"",IF(Q26=0,"Spend, no sales",IF(U26&gt;Rules!$B$24,"Above 3x break-even","Within 3x break-even")))</f>
        <v>Spend, no sales</v>
      </c>
      <c r="AS26" s="8" t="str">
        <f aca="false">IF(OR(J26="",H26&lt;&gt;"ENABLED"),"",IF(J26&gt;Rules!$B$9,"Above +300% cap","OK"))</f>
        <v/>
      </c>
      <c r="AT26" s="19" t="s">
        <v>162</v>
      </c>
      <c r="AU26" s="19" t="s">
        <v>222</v>
      </c>
      <c r="AV26" s="8" t="s">
        <v>164</v>
      </c>
      <c r="AW26" s="22"/>
      <c r="AX26" s="22"/>
    </row>
    <row r="27" customFormat="false" ht="35.05" hidden="false" customHeight="false" outlineLevel="0" collapsed="false">
      <c r="A27" s="18" t="s">
        <v>223</v>
      </c>
      <c r="B27" s="19" t="s">
        <v>224</v>
      </c>
      <c r="C27" s="19" t="s">
        <v>225</v>
      </c>
      <c r="D27" s="8" t="s">
        <v>108</v>
      </c>
      <c r="E27" s="8" t="s">
        <v>109</v>
      </c>
      <c r="F27" s="8" t="s">
        <v>120</v>
      </c>
      <c r="G27" s="19" t="s">
        <v>168</v>
      </c>
      <c r="H27" s="8" t="s">
        <v>130</v>
      </c>
      <c r="I27" s="7" t="n">
        <v>8.7</v>
      </c>
      <c r="J27" s="20"/>
      <c r="K27" s="7"/>
      <c r="L27" s="7" t="str">
        <f aca="false">IF(OR(K27="",J27=""),"",K27*(1+J27))</f>
        <v/>
      </c>
      <c r="M27" s="9" t="n">
        <v>2235</v>
      </c>
      <c r="N27" s="9" t="n">
        <v>18</v>
      </c>
      <c r="O27" s="7" t="n">
        <v>20.86</v>
      </c>
      <c r="P27" s="9" t="n">
        <v>0</v>
      </c>
      <c r="Q27" s="7" t="n">
        <v>0</v>
      </c>
      <c r="R27" s="10" t="n">
        <f aca="false">IF(M27=0,0,N27/M27)</f>
        <v>0.00805369127516779</v>
      </c>
      <c r="S27" s="10" t="n">
        <f aca="false">IF(N27=0,0,P27/N27)</f>
        <v>0</v>
      </c>
      <c r="T27" s="7" t="n">
        <f aca="false">IF(N27=0,0,O27/N27)</f>
        <v>1.15888888888889</v>
      </c>
      <c r="U27" s="10" t="str">
        <f aca="false">IF(Q27=0,"",O27/Q27)</f>
        <v/>
      </c>
      <c r="V27" s="21" t="n">
        <f aca="false">IF(O27=0,0,Q27/O27)</f>
        <v>0</v>
      </c>
      <c r="W27" s="9" t="n">
        <v>8</v>
      </c>
      <c r="X27" s="7" t="n">
        <v>8.91</v>
      </c>
      <c r="Y27" s="9" t="n">
        <v>0</v>
      </c>
      <c r="Z27" s="7" t="n">
        <v>0</v>
      </c>
      <c r="AA27" s="10" t="n">
        <f aca="false">IF(W27=0,0,Y27/W27)</f>
        <v>0</v>
      </c>
      <c r="AB27" s="10" t="str">
        <f aca="false">IF(Z27=0,"",X27/Z27)</f>
        <v/>
      </c>
      <c r="AC27" s="9" t="n">
        <v>0</v>
      </c>
      <c r="AD27" s="7" t="n">
        <v>0</v>
      </c>
      <c r="AE27" s="9" t="n">
        <v>0</v>
      </c>
      <c r="AF27" s="7" t="n">
        <v>0</v>
      </c>
      <c r="AG27" s="10" t="n">
        <f aca="false">IF(AC27=0,0,AE27/AC27)</f>
        <v>0</v>
      </c>
      <c r="AH27" s="9" t="n">
        <v>10</v>
      </c>
      <c r="AI27" s="7" t="n">
        <v>14.44</v>
      </c>
      <c r="AJ27" s="9" t="n">
        <v>7</v>
      </c>
      <c r="AK27" s="7" t="n">
        <v>5.56</v>
      </c>
      <c r="AL27" s="9" t="n">
        <v>1</v>
      </c>
      <c r="AM27" s="7" t="n">
        <v>0.86</v>
      </c>
      <c r="AN27" s="9" t="n">
        <v>0</v>
      </c>
      <c r="AO27" s="7" t="n">
        <v>0</v>
      </c>
      <c r="AP27" s="10" t="n">
        <f aca="false">IF(O27=0,0,AO27/O27)</f>
        <v>0</v>
      </c>
      <c r="AQ27" s="8" t="str">
        <f aca="false">IF(N27&lt;Rules!$B$10,"Under 20 clicks: too early",IF(P27=0,"20+ clicks, 0 orders: negate / pause",IF(N27&lt;Rules!$B$11,"Under 100 clicks: watch",IF(S27&gt;=Rules!$B$12,"4%+: keep",IF(S27&gt;=Rules!$B$13,"2% to 4%: hold at lower bid","Under 2%: pause")))))</f>
        <v>Under 20 clicks: too early</v>
      </c>
      <c r="AR27" s="8" t="str">
        <f aca="false">IF(O27=0,"",IF(Q27=0,"Spend, no sales",IF(U27&gt;Rules!$B$24,"Above 3x break-even","Within 3x break-even")))</f>
        <v>Spend, no sales</v>
      </c>
      <c r="AS27" s="8" t="str">
        <f aca="false">IF(OR(J27="",H27&lt;&gt;"ENABLED"),"",IF(J27&gt;Rules!$B$9,"Above +300% cap","OK"))</f>
        <v/>
      </c>
      <c r="AT27" s="19" t="s">
        <v>169</v>
      </c>
      <c r="AU27" s="19" t="s">
        <v>226</v>
      </c>
      <c r="AV27" s="8" t="s">
        <v>164</v>
      </c>
      <c r="AW27" s="22"/>
      <c r="AX27" s="22"/>
    </row>
    <row r="28" customFormat="false" ht="35.05" hidden="false" customHeight="false" outlineLevel="0" collapsed="false">
      <c r="A28" s="18" t="s">
        <v>227</v>
      </c>
      <c r="B28" s="19" t="s">
        <v>228</v>
      </c>
      <c r="C28" s="19" t="s">
        <v>229</v>
      </c>
      <c r="D28" s="8" t="s">
        <v>108</v>
      </c>
      <c r="E28" s="8" t="s">
        <v>119</v>
      </c>
      <c r="F28" s="8" t="s">
        <v>120</v>
      </c>
      <c r="G28" s="19" t="s">
        <v>230</v>
      </c>
      <c r="H28" s="8" t="s">
        <v>112</v>
      </c>
      <c r="I28" s="7" t="n">
        <v>19.95</v>
      </c>
      <c r="J28" s="20" t="n">
        <v>3.6</v>
      </c>
      <c r="K28" s="7"/>
      <c r="L28" s="7" t="str">
        <f aca="false">IF(OR(K28="",J28=""),"",K28*(1+J28))</f>
        <v/>
      </c>
      <c r="M28" s="9" t="n">
        <v>503</v>
      </c>
      <c r="N28" s="9" t="n">
        <v>11</v>
      </c>
      <c r="O28" s="7" t="n">
        <v>20.64</v>
      </c>
      <c r="P28" s="9" t="n">
        <v>0</v>
      </c>
      <c r="Q28" s="7" t="n">
        <v>0</v>
      </c>
      <c r="R28" s="10" t="n">
        <f aca="false">IF(M28=0,0,N28/M28)</f>
        <v>0.021868787276342</v>
      </c>
      <c r="S28" s="10" t="n">
        <f aca="false">IF(N28=0,0,P28/N28)</f>
        <v>0</v>
      </c>
      <c r="T28" s="7" t="n">
        <f aca="false">IF(N28=0,0,O28/N28)</f>
        <v>1.87636363636364</v>
      </c>
      <c r="U28" s="10" t="str">
        <f aca="false">IF(Q28=0,"",O28/Q28)</f>
        <v/>
      </c>
      <c r="V28" s="21" t="n">
        <f aca="false">IF(O28=0,0,Q28/O28)</f>
        <v>0</v>
      </c>
      <c r="W28" s="9" t="n">
        <v>4</v>
      </c>
      <c r="X28" s="7" t="n">
        <v>11.4</v>
      </c>
      <c r="Y28" s="9" t="n">
        <v>0</v>
      </c>
      <c r="Z28" s="7" t="n">
        <v>0</v>
      </c>
      <c r="AA28" s="10" t="n">
        <f aca="false">IF(W28=0,0,Y28/W28)</f>
        <v>0</v>
      </c>
      <c r="AB28" s="10" t="str">
        <f aca="false">IF(Z28=0,"",X28/Z28)</f>
        <v/>
      </c>
      <c r="AC28" s="9" t="n">
        <v>2</v>
      </c>
      <c r="AD28" s="7" t="n">
        <v>7.11</v>
      </c>
      <c r="AE28" s="9" t="n">
        <v>0</v>
      </c>
      <c r="AF28" s="7" t="n">
        <v>0</v>
      </c>
      <c r="AG28" s="10" t="n">
        <f aca="false">IF(AC28=0,0,AE28/AC28)</f>
        <v>0</v>
      </c>
      <c r="AH28" s="9" t="n">
        <v>9</v>
      </c>
      <c r="AI28" s="7" t="n">
        <v>18.98</v>
      </c>
      <c r="AJ28" s="9" t="n">
        <v>1</v>
      </c>
      <c r="AK28" s="7" t="n">
        <v>1.02</v>
      </c>
      <c r="AL28" s="9" t="n">
        <v>1</v>
      </c>
      <c r="AM28" s="7" t="n">
        <v>0.64</v>
      </c>
      <c r="AN28" s="9" t="n">
        <v>0</v>
      </c>
      <c r="AO28" s="7" t="n">
        <v>0</v>
      </c>
      <c r="AP28" s="10" t="n">
        <f aca="false">IF(O28=0,0,AO28/O28)</f>
        <v>0</v>
      </c>
      <c r="AQ28" s="8" t="str">
        <f aca="false">IF(N28&lt;Rules!$B$10,"Under 20 clicks: too early",IF(P28=0,"20+ clicks, 0 orders: negate / pause",IF(N28&lt;Rules!$B$11,"Under 100 clicks: watch",IF(S28&gt;=Rules!$B$12,"4%+: keep",IF(S28&gt;=Rules!$B$13,"2% to 4%: hold at lower bid","Under 2%: pause")))))</f>
        <v>Under 20 clicks: too early</v>
      </c>
      <c r="AR28" s="8" t="str">
        <f aca="false">IF(O28=0,"",IF(Q28=0,"Spend, no sales",IF(U28&gt;Rules!$B$24,"Above 3x break-even","Within 3x break-even")))</f>
        <v>Spend, no sales</v>
      </c>
      <c r="AS28" s="8" t="str">
        <f aca="false">IF(OR(J28="",H28&lt;&gt;"ENABLED"),"",IF(J28&gt;Rules!$B$9,"Above +300% cap","OK"))</f>
        <v>Above +300% cap</v>
      </c>
      <c r="AT28" s="19" t="s">
        <v>145</v>
      </c>
      <c r="AU28" s="19" t="s">
        <v>231</v>
      </c>
      <c r="AV28" s="8" t="s">
        <v>124</v>
      </c>
      <c r="AW28" s="22"/>
      <c r="AX28" s="22"/>
    </row>
    <row r="29" customFormat="false" ht="35.05" hidden="false" customHeight="false" outlineLevel="0" collapsed="false">
      <c r="A29" s="18" t="s">
        <v>232</v>
      </c>
      <c r="B29" s="19" t="s">
        <v>233</v>
      </c>
      <c r="C29" s="19" t="s">
        <v>234</v>
      </c>
      <c r="D29" s="8" t="s">
        <v>108</v>
      </c>
      <c r="E29" s="8" t="s">
        <v>201</v>
      </c>
      <c r="F29" s="8" t="s">
        <v>120</v>
      </c>
      <c r="G29" s="19" t="s">
        <v>168</v>
      </c>
      <c r="H29" s="8" t="s">
        <v>130</v>
      </c>
      <c r="I29" s="7" t="n">
        <v>11.21</v>
      </c>
      <c r="J29" s="20"/>
      <c r="K29" s="7"/>
      <c r="L29" s="7" t="str">
        <f aca="false">IF(OR(K29="",J29=""),"",K29*(1+J29))</f>
        <v/>
      </c>
      <c r="M29" s="9" t="n">
        <v>657</v>
      </c>
      <c r="N29" s="9" t="n">
        <v>43</v>
      </c>
      <c r="O29" s="7" t="n">
        <v>19.66</v>
      </c>
      <c r="P29" s="9" t="n">
        <v>0</v>
      </c>
      <c r="Q29" s="7" t="n">
        <v>0</v>
      </c>
      <c r="R29" s="10" t="n">
        <f aca="false">IF(M29=0,0,N29/M29)</f>
        <v>0.0654490106544901</v>
      </c>
      <c r="S29" s="10" t="n">
        <f aca="false">IF(N29=0,0,P29/N29)</f>
        <v>0</v>
      </c>
      <c r="T29" s="7" t="n">
        <f aca="false">IF(N29=0,0,O29/N29)</f>
        <v>0.457209302325581</v>
      </c>
      <c r="U29" s="10" t="str">
        <f aca="false">IF(Q29=0,"",O29/Q29)</f>
        <v/>
      </c>
      <c r="V29" s="21" t="n">
        <f aca="false">IF(O29=0,0,Q29/O29)</f>
        <v>0</v>
      </c>
      <c r="W29" s="9" t="n">
        <v>0</v>
      </c>
      <c r="X29" s="7" t="n">
        <v>0</v>
      </c>
      <c r="Y29" s="9" t="n">
        <v>0</v>
      </c>
      <c r="Z29" s="7" t="n">
        <v>0</v>
      </c>
      <c r="AA29" s="10" t="n">
        <f aca="false">IF(W29=0,0,Y29/W29)</f>
        <v>0</v>
      </c>
      <c r="AB29" s="10" t="str">
        <f aca="false">IF(Z29=0,"",X29/Z29)</f>
        <v/>
      </c>
      <c r="AC29" s="9" t="n">
        <v>0</v>
      </c>
      <c r="AD29" s="7" t="n">
        <v>0</v>
      </c>
      <c r="AE29" s="9" t="n">
        <v>0</v>
      </c>
      <c r="AF29" s="7" t="n">
        <v>0</v>
      </c>
      <c r="AG29" s="10" t="n">
        <f aca="false">IF(AC29=0,0,AE29/AC29)</f>
        <v>0</v>
      </c>
      <c r="AH29" s="9" t="n">
        <v>3</v>
      </c>
      <c r="AI29" s="7" t="n">
        <v>12.08</v>
      </c>
      <c r="AJ29" s="9" t="n">
        <v>0</v>
      </c>
      <c r="AK29" s="7" t="n">
        <v>0</v>
      </c>
      <c r="AL29" s="9" t="n">
        <v>0</v>
      </c>
      <c r="AM29" s="7" t="n">
        <v>0</v>
      </c>
      <c r="AN29" s="9" t="n">
        <v>40</v>
      </c>
      <c r="AO29" s="7" t="n">
        <v>7.58</v>
      </c>
      <c r="AP29" s="10" t="n">
        <f aca="false">IF(O29=0,0,AO29/O29)</f>
        <v>0.385554425228891</v>
      </c>
      <c r="AQ29" s="8" t="str">
        <f aca="false">IF(N29&lt;Rules!$B$10,"Under 20 clicks: too early",IF(P29=0,"20+ clicks, 0 orders: negate / pause",IF(N29&lt;Rules!$B$11,"Under 100 clicks: watch",IF(S29&gt;=Rules!$B$12,"4%+: keep",IF(S29&gt;=Rules!$B$13,"2% to 4%: hold at lower bid","Under 2%: pause")))))</f>
        <v>20+ clicks, 0 orders: negate / pause</v>
      </c>
      <c r="AR29" s="8" t="str">
        <f aca="false">IF(O29=0,"",IF(Q29=0,"Spend, no sales",IF(U29&gt;Rules!$B$24,"Above 3x break-even","Within 3x break-even")))</f>
        <v>Spend, no sales</v>
      </c>
      <c r="AS29" s="8" t="str">
        <f aca="false">IF(OR(J29="",H29&lt;&gt;"ENABLED"),"",IF(J29&gt;Rules!$B$9,"Above +300% cap","OK"))</f>
        <v/>
      </c>
      <c r="AT29" s="19" t="s">
        <v>169</v>
      </c>
      <c r="AU29" s="19" t="s">
        <v>235</v>
      </c>
      <c r="AV29" s="8" t="s">
        <v>164</v>
      </c>
      <c r="AW29" s="22"/>
      <c r="AX29" s="22"/>
    </row>
    <row r="30" customFormat="false" ht="23.85" hidden="false" customHeight="false" outlineLevel="0" collapsed="false">
      <c r="A30" s="18" t="s">
        <v>236</v>
      </c>
      <c r="B30" s="19" t="s">
        <v>237</v>
      </c>
      <c r="C30" s="19" t="s">
        <v>238</v>
      </c>
      <c r="D30" s="8" t="s">
        <v>141</v>
      </c>
      <c r="E30" s="8" t="s">
        <v>142</v>
      </c>
      <c r="F30" s="8" t="s">
        <v>143</v>
      </c>
      <c r="G30" s="19" t="s">
        <v>144</v>
      </c>
      <c r="H30" s="8" t="s">
        <v>130</v>
      </c>
      <c r="I30" s="7" t="n">
        <v>4.5</v>
      </c>
      <c r="J30" s="20"/>
      <c r="K30" s="7"/>
      <c r="L30" s="7" t="str">
        <f aca="false">IF(OR(K30="",J30=""),"",K30*(1+J30))</f>
        <v/>
      </c>
      <c r="M30" s="9" t="n">
        <v>5262</v>
      </c>
      <c r="N30" s="9" t="n">
        <v>33</v>
      </c>
      <c r="O30" s="7" t="n">
        <v>19.32</v>
      </c>
      <c r="P30" s="9" t="n">
        <v>0</v>
      </c>
      <c r="Q30" s="7" t="n">
        <v>0</v>
      </c>
      <c r="R30" s="10" t="n">
        <f aca="false">IF(M30=0,0,N30/M30)</f>
        <v>0.00627137970353478</v>
      </c>
      <c r="S30" s="10" t="n">
        <f aca="false">IF(N30=0,0,P30/N30)</f>
        <v>0</v>
      </c>
      <c r="T30" s="7" t="n">
        <f aca="false">IF(N30=0,0,O30/N30)</f>
        <v>0.585454545454545</v>
      </c>
      <c r="U30" s="10" t="str">
        <f aca="false">IF(Q30=0,"",O30/Q30)</f>
        <v/>
      </c>
      <c r="V30" s="21" t="n">
        <f aca="false">IF(O30=0,0,Q30/O30)</f>
        <v>0</v>
      </c>
      <c r="W30" s="9" t="n">
        <v>29</v>
      </c>
      <c r="X30" s="7" t="n">
        <v>16.96</v>
      </c>
      <c r="Y30" s="9" t="n">
        <v>0</v>
      </c>
      <c r="Z30" s="7" t="n">
        <v>0</v>
      </c>
      <c r="AA30" s="10" t="n">
        <f aca="false">IF(W30=0,0,Y30/W30)</f>
        <v>0</v>
      </c>
      <c r="AB30" s="10" t="str">
        <f aca="false">IF(Z30=0,"",X30/Z30)</f>
        <v/>
      </c>
      <c r="AC30" s="9" t="n">
        <v>0</v>
      </c>
      <c r="AD30" s="7" t="n">
        <v>0</v>
      </c>
      <c r="AE30" s="9" t="n">
        <v>0</v>
      </c>
      <c r="AF30" s="7" t="n">
        <v>0</v>
      </c>
      <c r="AG30" s="10" t="n">
        <f aca="false">IF(AC30=0,0,AE30/AC30)</f>
        <v>0</v>
      </c>
      <c r="AH30" s="9" t="n">
        <v>0</v>
      </c>
      <c r="AI30" s="7" t="n">
        <v>0</v>
      </c>
      <c r="AJ30" s="9" t="n">
        <v>33</v>
      </c>
      <c r="AK30" s="7" t="n">
        <v>19.32</v>
      </c>
      <c r="AL30" s="9" t="n">
        <v>0</v>
      </c>
      <c r="AM30" s="7" t="n">
        <v>0</v>
      </c>
      <c r="AN30" s="9" t="n">
        <v>0</v>
      </c>
      <c r="AO30" s="7" t="n">
        <v>0</v>
      </c>
      <c r="AP30" s="10" t="n">
        <f aca="false">IF(O30=0,0,AO30/O30)</f>
        <v>0</v>
      </c>
      <c r="AQ30" s="8" t="str">
        <f aca="false">IF(N30&lt;Rules!$B$10,"Under 20 clicks: too early",IF(P30=0,"20+ clicks, 0 orders: negate / pause",IF(N30&lt;Rules!$B$11,"Under 100 clicks: watch",IF(S30&gt;=Rules!$B$12,"4%+: keep",IF(S30&gt;=Rules!$B$13,"2% to 4%: hold at lower bid","Under 2%: pause")))))</f>
        <v>20+ clicks, 0 orders: negate / pause</v>
      </c>
      <c r="AR30" s="8" t="str">
        <f aca="false">IF(O30=0,"",IF(Q30=0,"Spend, no sales",IF(U30&gt;Rules!$B$24,"Above 3x break-even","Within 3x break-even")))</f>
        <v>Spend, no sales</v>
      </c>
      <c r="AS30" s="8" t="str">
        <f aca="false">IF(OR(J30="",H30&lt;&gt;"ENABLED"),"",IF(J30&gt;Rules!$B$9,"Above +300% cap","OK"))</f>
        <v/>
      </c>
      <c r="AT30" s="19" t="s">
        <v>162</v>
      </c>
      <c r="AU30" s="19" t="s">
        <v>239</v>
      </c>
      <c r="AV30" s="8" t="s">
        <v>164</v>
      </c>
      <c r="AW30" s="22"/>
      <c r="AX30" s="22"/>
    </row>
    <row r="31" customFormat="false" ht="23.85" hidden="false" customHeight="false" outlineLevel="0" collapsed="false">
      <c r="A31" s="18" t="s">
        <v>240</v>
      </c>
      <c r="B31" s="19" t="s">
        <v>241</v>
      </c>
      <c r="C31" s="19" t="s">
        <v>242</v>
      </c>
      <c r="D31" s="8" t="s">
        <v>141</v>
      </c>
      <c r="E31" s="8" t="s">
        <v>142</v>
      </c>
      <c r="F31" s="8" t="s">
        <v>143</v>
      </c>
      <c r="G31" s="19" t="s">
        <v>144</v>
      </c>
      <c r="H31" s="8" t="s">
        <v>112</v>
      </c>
      <c r="I31" s="7" t="n">
        <v>4.5</v>
      </c>
      <c r="J31" s="20" t="n">
        <v>0</v>
      </c>
      <c r="K31" s="7"/>
      <c r="L31" s="7" t="str">
        <f aca="false">IF(OR(K31="",J31=""),"",K31*(1+J31))</f>
        <v/>
      </c>
      <c r="M31" s="9" t="n">
        <v>4406</v>
      </c>
      <c r="N31" s="9" t="n">
        <v>24</v>
      </c>
      <c r="O31" s="7" t="n">
        <v>15.31</v>
      </c>
      <c r="P31" s="9" t="n">
        <v>0</v>
      </c>
      <c r="Q31" s="7" t="n">
        <v>0</v>
      </c>
      <c r="R31" s="10" t="n">
        <f aca="false">IF(M31=0,0,N31/M31)</f>
        <v>0.00544711756695415</v>
      </c>
      <c r="S31" s="10" t="n">
        <f aca="false">IF(N31=0,0,P31/N31)</f>
        <v>0</v>
      </c>
      <c r="T31" s="7" t="n">
        <f aca="false">IF(N31=0,0,O31/N31)</f>
        <v>0.637916666666667</v>
      </c>
      <c r="U31" s="10" t="str">
        <f aca="false">IF(Q31=0,"",O31/Q31)</f>
        <v/>
      </c>
      <c r="V31" s="21" t="n">
        <f aca="false">IF(O31=0,0,Q31/O31)</f>
        <v>0</v>
      </c>
      <c r="W31" s="9" t="n">
        <v>23</v>
      </c>
      <c r="X31" s="7" t="n">
        <v>14.66</v>
      </c>
      <c r="Y31" s="9" t="n">
        <v>0</v>
      </c>
      <c r="Z31" s="7" t="n">
        <v>0</v>
      </c>
      <c r="AA31" s="10" t="n">
        <f aca="false">IF(W31=0,0,Y31/W31)</f>
        <v>0</v>
      </c>
      <c r="AB31" s="10" t="str">
        <f aca="false">IF(Z31=0,"",X31/Z31)</f>
        <v/>
      </c>
      <c r="AC31" s="9" t="n">
        <v>12</v>
      </c>
      <c r="AD31" s="7" t="n">
        <v>7.51</v>
      </c>
      <c r="AE31" s="9" t="n">
        <v>0</v>
      </c>
      <c r="AF31" s="7" t="n">
        <v>0</v>
      </c>
      <c r="AG31" s="10" t="n">
        <f aca="false">IF(AC31=0,0,AE31/AC31)</f>
        <v>0</v>
      </c>
      <c r="AH31" s="9" t="n">
        <v>0</v>
      </c>
      <c r="AI31" s="7" t="n">
        <v>0</v>
      </c>
      <c r="AJ31" s="9" t="n">
        <v>24</v>
      </c>
      <c r="AK31" s="7" t="n">
        <v>15.31</v>
      </c>
      <c r="AL31" s="9" t="n">
        <v>0</v>
      </c>
      <c r="AM31" s="7" t="n">
        <v>0</v>
      </c>
      <c r="AN31" s="9" t="n">
        <v>0</v>
      </c>
      <c r="AO31" s="7" t="n">
        <v>0</v>
      </c>
      <c r="AP31" s="10" t="n">
        <f aca="false">IF(O31=0,0,AO31/O31)</f>
        <v>0</v>
      </c>
      <c r="AQ31" s="8" t="str">
        <f aca="false">IF(N31&lt;Rules!$B$10,"Under 20 clicks: too early",IF(P31=0,"20+ clicks, 0 orders: negate / pause",IF(N31&lt;Rules!$B$11,"Under 100 clicks: watch",IF(S31&gt;=Rules!$B$12,"4%+: keep",IF(S31&gt;=Rules!$B$13,"2% to 4%: hold at lower bid","Under 2%: pause")))))</f>
        <v>20+ clicks, 0 orders: negate / pause</v>
      </c>
      <c r="AR31" s="8" t="str">
        <f aca="false">IF(O31=0,"",IF(Q31=0,"Spend, no sales",IF(U31&gt;Rules!$B$24,"Above 3x break-even","Within 3x break-even")))</f>
        <v>Spend, no sales</v>
      </c>
      <c r="AS31" s="8" t="str">
        <f aca="false">IF(OR(J31="",H31&lt;&gt;"ENABLED"),"",IF(J31&gt;Rules!$B$9,"Above +300% cap","OK"))</f>
        <v>OK</v>
      </c>
      <c r="AT31" s="19" t="s">
        <v>145</v>
      </c>
      <c r="AU31" s="19" t="s">
        <v>146</v>
      </c>
      <c r="AV31" s="8" t="s">
        <v>124</v>
      </c>
      <c r="AW31" s="22"/>
      <c r="AX31" s="22"/>
    </row>
    <row r="32" customFormat="false" ht="23.85" hidden="false" customHeight="false" outlineLevel="0" collapsed="false">
      <c r="A32" s="18" t="s">
        <v>243</v>
      </c>
      <c r="B32" s="19" t="s">
        <v>244</v>
      </c>
      <c r="C32" s="19" t="s">
        <v>245</v>
      </c>
      <c r="D32" s="8" t="s">
        <v>141</v>
      </c>
      <c r="E32" s="8" t="s">
        <v>142</v>
      </c>
      <c r="F32" s="8" t="s">
        <v>143</v>
      </c>
      <c r="G32" s="19" t="s">
        <v>144</v>
      </c>
      <c r="H32" s="8" t="s">
        <v>130</v>
      </c>
      <c r="I32" s="7" t="n">
        <v>4.5</v>
      </c>
      <c r="J32" s="20"/>
      <c r="K32" s="7"/>
      <c r="L32" s="7" t="str">
        <f aca="false">IF(OR(K32="",J32=""),"",K32*(1+J32))</f>
        <v/>
      </c>
      <c r="M32" s="9" t="n">
        <v>3649</v>
      </c>
      <c r="N32" s="9" t="n">
        <v>22</v>
      </c>
      <c r="O32" s="7" t="n">
        <v>12.98</v>
      </c>
      <c r="P32" s="9" t="n">
        <v>0</v>
      </c>
      <c r="Q32" s="7" t="n">
        <v>0</v>
      </c>
      <c r="R32" s="10" t="n">
        <f aca="false">IF(M32=0,0,N32/M32)</f>
        <v>0.00602904905453549</v>
      </c>
      <c r="S32" s="10" t="n">
        <f aca="false">IF(N32=0,0,P32/N32)</f>
        <v>0</v>
      </c>
      <c r="T32" s="7" t="n">
        <f aca="false">IF(N32=0,0,O32/N32)</f>
        <v>0.59</v>
      </c>
      <c r="U32" s="10" t="str">
        <f aca="false">IF(Q32=0,"",O32/Q32)</f>
        <v/>
      </c>
      <c r="V32" s="21" t="n">
        <f aca="false">IF(O32=0,0,Q32/O32)</f>
        <v>0</v>
      </c>
      <c r="W32" s="9" t="n">
        <v>19</v>
      </c>
      <c r="X32" s="7" t="n">
        <v>11.21</v>
      </c>
      <c r="Y32" s="9" t="n">
        <v>0</v>
      </c>
      <c r="Z32" s="7" t="n">
        <v>0</v>
      </c>
      <c r="AA32" s="10" t="n">
        <f aca="false">IF(W32=0,0,Y32/W32)</f>
        <v>0</v>
      </c>
      <c r="AB32" s="10" t="str">
        <f aca="false">IF(Z32=0,"",X32/Z32)</f>
        <v/>
      </c>
      <c r="AC32" s="9" t="n">
        <v>0</v>
      </c>
      <c r="AD32" s="7" t="n">
        <v>0</v>
      </c>
      <c r="AE32" s="9" t="n">
        <v>0</v>
      </c>
      <c r="AF32" s="7" t="n">
        <v>0</v>
      </c>
      <c r="AG32" s="10" t="n">
        <f aca="false">IF(AC32=0,0,AE32/AC32)</f>
        <v>0</v>
      </c>
      <c r="AH32" s="9" t="n">
        <v>1</v>
      </c>
      <c r="AI32" s="7" t="n">
        <v>0.59</v>
      </c>
      <c r="AJ32" s="9" t="n">
        <v>21</v>
      </c>
      <c r="AK32" s="7" t="n">
        <v>12.39</v>
      </c>
      <c r="AL32" s="9" t="n">
        <v>0</v>
      </c>
      <c r="AM32" s="7" t="n">
        <v>0</v>
      </c>
      <c r="AN32" s="9" t="n">
        <v>0</v>
      </c>
      <c r="AO32" s="7" t="n">
        <v>0</v>
      </c>
      <c r="AP32" s="10" t="n">
        <f aca="false">IF(O32=0,0,AO32/O32)</f>
        <v>0</v>
      </c>
      <c r="AQ32" s="8" t="str">
        <f aca="false">IF(N32&lt;Rules!$B$10,"Under 20 clicks: too early",IF(P32=0,"20+ clicks, 0 orders: negate / pause",IF(N32&lt;Rules!$B$11,"Under 100 clicks: watch",IF(S32&gt;=Rules!$B$12,"4%+: keep",IF(S32&gt;=Rules!$B$13,"2% to 4%: hold at lower bid","Under 2%: pause")))))</f>
        <v>20+ clicks, 0 orders: negate / pause</v>
      </c>
      <c r="AR32" s="8" t="str">
        <f aca="false">IF(O32=0,"",IF(Q32=0,"Spend, no sales",IF(U32&gt;Rules!$B$24,"Above 3x break-even","Within 3x break-even")))</f>
        <v>Spend, no sales</v>
      </c>
      <c r="AS32" s="8" t="str">
        <f aca="false">IF(OR(J32="",H32&lt;&gt;"ENABLED"),"",IF(J32&gt;Rules!$B$9,"Above +300% cap","OK"))</f>
        <v/>
      </c>
      <c r="AT32" s="19" t="s">
        <v>162</v>
      </c>
      <c r="AU32" s="19" t="s">
        <v>246</v>
      </c>
      <c r="AV32" s="8" t="s">
        <v>164</v>
      </c>
      <c r="AW32" s="22"/>
      <c r="AX32" s="22"/>
    </row>
    <row r="33" customFormat="false" ht="35.05" hidden="false" customHeight="false" outlineLevel="0" collapsed="false">
      <c r="A33" s="18" t="s">
        <v>247</v>
      </c>
      <c r="B33" s="19" t="s">
        <v>248</v>
      </c>
      <c r="C33" s="19" t="s">
        <v>249</v>
      </c>
      <c r="D33" s="8" t="s">
        <v>108</v>
      </c>
      <c r="E33" s="8" t="s">
        <v>109</v>
      </c>
      <c r="F33" s="8" t="s">
        <v>120</v>
      </c>
      <c r="G33" s="19" t="s">
        <v>174</v>
      </c>
      <c r="H33" s="8" t="s">
        <v>112</v>
      </c>
      <c r="I33" s="7" t="n">
        <v>8.6</v>
      </c>
      <c r="J33" s="20" t="n">
        <v>3.8</v>
      </c>
      <c r="K33" s="7"/>
      <c r="L33" s="7" t="str">
        <f aca="false">IF(OR(K33="",J33=""),"",K33*(1+J33))</f>
        <v/>
      </c>
      <c r="M33" s="9" t="n">
        <v>818</v>
      </c>
      <c r="N33" s="9" t="n">
        <v>9</v>
      </c>
      <c r="O33" s="7" t="n">
        <v>12.65</v>
      </c>
      <c r="P33" s="9" t="n">
        <v>0</v>
      </c>
      <c r="Q33" s="7" t="n">
        <v>0</v>
      </c>
      <c r="R33" s="10" t="n">
        <f aca="false">IF(M33=0,0,N33/M33)</f>
        <v>0.0110024449877751</v>
      </c>
      <c r="S33" s="10" t="n">
        <f aca="false">IF(N33=0,0,P33/N33)</f>
        <v>0</v>
      </c>
      <c r="T33" s="7" t="n">
        <f aca="false">IF(N33=0,0,O33/N33)</f>
        <v>1.40555555555556</v>
      </c>
      <c r="U33" s="10" t="str">
        <f aca="false">IF(Q33=0,"",O33/Q33)</f>
        <v/>
      </c>
      <c r="V33" s="21" t="n">
        <f aca="false">IF(O33=0,0,Q33/O33)</f>
        <v>0</v>
      </c>
      <c r="W33" s="9" t="n">
        <v>7</v>
      </c>
      <c r="X33" s="7" t="n">
        <v>9.25</v>
      </c>
      <c r="Y33" s="9" t="n">
        <v>0</v>
      </c>
      <c r="Z33" s="7" t="n">
        <v>0</v>
      </c>
      <c r="AA33" s="10" t="n">
        <f aca="false">IF(W33=0,0,Y33/W33)</f>
        <v>0</v>
      </c>
      <c r="AB33" s="10" t="str">
        <f aca="false">IF(Z33=0,"",X33/Z33)</f>
        <v/>
      </c>
      <c r="AC33" s="9" t="n">
        <v>2</v>
      </c>
      <c r="AD33" s="7" t="n">
        <v>1.98</v>
      </c>
      <c r="AE33" s="9" t="n">
        <v>0</v>
      </c>
      <c r="AF33" s="7" t="n">
        <v>0</v>
      </c>
      <c r="AG33" s="10" t="n">
        <f aca="false">IF(AC33=0,0,AE33/AC33)</f>
        <v>0</v>
      </c>
      <c r="AH33" s="9" t="n">
        <v>6</v>
      </c>
      <c r="AI33" s="7" t="n">
        <v>9.68</v>
      </c>
      <c r="AJ33" s="9" t="n">
        <v>3</v>
      </c>
      <c r="AK33" s="7" t="n">
        <v>2.97</v>
      </c>
      <c r="AL33" s="9" t="n">
        <v>0</v>
      </c>
      <c r="AM33" s="7" t="n">
        <v>0</v>
      </c>
      <c r="AN33" s="9" t="n">
        <v>0</v>
      </c>
      <c r="AO33" s="7" t="n">
        <v>0</v>
      </c>
      <c r="AP33" s="10" t="n">
        <f aca="false">IF(O33=0,0,AO33/O33)</f>
        <v>0</v>
      </c>
      <c r="AQ33" s="8" t="str">
        <f aca="false">IF(N33&lt;Rules!$B$10,"Under 20 clicks: too early",IF(P33=0,"20+ clicks, 0 orders: negate / pause",IF(N33&lt;Rules!$B$11,"Under 100 clicks: watch",IF(S33&gt;=Rules!$B$12,"4%+: keep",IF(S33&gt;=Rules!$B$13,"2% to 4%: hold at lower bid","Under 2%: pause")))))</f>
        <v>Under 20 clicks: too early</v>
      </c>
      <c r="AR33" s="8" t="str">
        <f aca="false">IF(O33=0,"",IF(Q33=0,"Spend, no sales",IF(U33&gt;Rules!$B$24,"Above 3x break-even","Within 3x break-even")))</f>
        <v>Spend, no sales</v>
      </c>
      <c r="AS33" s="8" t="str">
        <f aca="false">IF(OR(J33="",H33&lt;&gt;"ENABLED"),"",IF(J33&gt;Rules!$B$9,"Above +300% cap","OK"))</f>
        <v>Above +300% cap</v>
      </c>
      <c r="AT33" s="19" t="s">
        <v>145</v>
      </c>
      <c r="AU33" s="19" t="s">
        <v>250</v>
      </c>
      <c r="AV33" s="8" t="s">
        <v>124</v>
      </c>
      <c r="AW33" s="22"/>
      <c r="AX33" s="22"/>
    </row>
    <row r="34" customFormat="false" ht="35.05" hidden="false" customHeight="false" outlineLevel="0" collapsed="false">
      <c r="A34" s="18" t="s">
        <v>251</v>
      </c>
      <c r="B34" s="19" t="s">
        <v>252</v>
      </c>
      <c r="C34" s="19" t="s">
        <v>253</v>
      </c>
      <c r="D34" s="8" t="s">
        <v>108</v>
      </c>
      <c r="E34" s="8" t="s">
        <v>109</v>
      </c>
      <c r="F34" s="8" t="s">
        <v>110</v>
      </c>
      <c r="G34" s="19" t="s">
        <v>174</v>
      </c>
      <c r="H34" s="8" t="s">
        <v>112</v>
      </c>
      <c r="I34" s="7" t="n">
        <v>5.66</v>
      </c>
      <c r="J34" s="20" t="n">
        <v>3</v>
      </c>
      <c r="K34" s="7"/>
      <c r="L34" s="7" t="str">
        <f aca="false">IF(OR(K34="",J34=""),"",K34*(1+J34))</f>
        <v/>
      </c>
      <c r="M34" s="9" t="n">
        <v>1282</v>
      </c>
      <c r="N34" s="9" t="n">
        <v>12</v>
      </c>
      <c r="O34" s="7" t="n">
        <v>12.58</v>
      </c>
      <c r="P34" s="9" t="n">
        <v>0</v>
      </c>
      <c r="Q34" s="7" t="n">
        <v>0</v>
      </c>
      <c r="R34" s="10" t="n">
        <f aca="false">IF(M34=0,0,N34/M34)</f>
        <v>0.0093603744149766</v>
      </c>
      <c r="S34" s="10" t="n">
        <f aca="false">IF(N34=0,0,P34/N34)</f>
        <v>0</v>
      </c>
      <c r="T34" s="7" t="n">
        <f aca="false">IF(N34=0,0,O34/N34)</f>
        <v>1.04833333333333</v>
      </c>
      <c r="U34" s="10" t="str">
        <f aca="false">IF(Q34=0,"",O34/Q34)</f>
        <v/>
      </c>
      <c r="V34" s="21" t="n">
        <f aca="false">IF(O34=0,0,Q34/O34)</f>
        <v>0</v>
      </c>
      <c r="W34" s="9" t="n">
        <v>11</v>
      </c>
      <c r="X34" s="7" t="n">
        <v>11.04</v>
      </c>
      <c r="Y34" s="9" t="n">
        <v>0</v>
      </c>
      <c r="Z34" s="7" t="n">
        <v>0</v>
      </c>
      <c r="AA34" s="10" t="n">
        <f aca="false">IF(W34=0,0,Y34/W34)</f>
        <v>0</v>
      </c>
      <c r="AB34" s="10" t="str">
        <f aca="false">IF(Z34=0,"",X34/Z34)</f>
        <v/>
      </c>
      <c r="AC34" s="9" t="n">
        <v>5</v>
      </c>
      <c r="AD34" s="7" t="n">
        <v>3.4</v>
      </c>
      <c r="AE34" s="9" t="n">
        <v>0</v>
      </c>
      <c r="AF34" s="7" t="n">
        <v>0</v>
      </c>
      <c r="AG34" s="10" t="n">
        <f aca="false">IF(AC34=0,0,AE34/AC34)</f>
        <v>0</v>
      </c>
      <c r="AH34" s="9" t="n">
        <v>5</v>
      </c>
      <c r="AI34" s="7" t="n">
        <v>7.82</v>
      </c>
      <c r="AJ34" s="9" t="n">
        <v>7</v>
      </c>
      <c r="AK34" s="7" t="n">
        <v>4.76</v>
      </c>
      <c r="AL34" s="9" t="n">
        <v>0</v>
      </c>
      <c r="AM34" s="7" t="n">
        <v>0</v>
      </c>
      <c r="AN34" s="9" t="n">
        <v>0</v>
      </c>
      <c r="AO34" s="7" t="n">
        <v>0</v>
      </c>
      <c r="AP34" s="10" t="n">
        <f aca="false">IF(O34=0,0,AO34/O34)</f>
        <v>0</v>
      </c>
      <c r="AQ34" s="8" t="str">
        <f aca="false">IF(N34&lt;Rules!$B$10,"Under 20 clicks: too early",IF(P34=0,"20+ clicks, 0 orders: negate / pause",IF(N34&lt;Rules!$B$11,"Under 100 clicks: watch",IF(S34&gt;=Rules!$B$12,"4%+: keep",IF(S34&gt;=Rules!$B$13,"2% to 4%: hold at lower bid","Under 2%: pause")))))</f>
        <v>Under 20 clicks: too early</v>
      </c>
      <c r="AR34" s="8" t="str">
        <f aca="false">IF(O34=0,"",IF(Q34=0,"Spend, no sales",IF(U34&gt;Rules!$B$24,"Above 3x break-even","Within 3x break-even")))</f>
        <v>Spend, no sales</v>
      </c>
      <c r="AS34" s="8" t="str">
        <f aca="false">IF(OR(J34="",H34&lt;&gt;"ENABLED"),"",IF(J34&gt;Rules!$B$9,"Above +300% cap","OK"))</f>
        <v>OK</v>
      </c>
      <c r="AT34" s="19" t="s">
        <v>145</v>
      </c>
      <c r="AU34" s="19" t="s">
        <v>254</v>
      </c>
      <c r="AV34" s="8" t="s">
        <v>124</v>
      </c>
      <c r="AW34" s="22"/>
      <c r="AX34" s="22"/>
    </row>
    <row r="35" customFormat="false" ht="35.05" hidden="false" customHeight="false" outlineLevel="0" collapsed="false">
      <c r="A35" s="18" t="s">
        <v>255</v>
      </c>
      <c r="B35" s="19" t="s">
        <v>256</v>
      </c>
      <c r="C35" s="19" t="s">
        <v>257</v>
      </c>
      <c r="D35" s="8" t="s">
        <v>108</v>
      </c>
      <c r="E35" s="8" t="s">
        <v>221</v>
      </c>
      <c r="F35" s="8" t="s">
        <v>258</v>
      </c>
      <c r="G35" s="19" t="s">
        <v>121</v>
      </c>
      <c r="H35" s="8" t="s">
        <v>112</v>
      </c>
      <c r="I35" s="7" t="n">
        <v>13.97</v>
      </c>
      <c r="J35" s="20" t="n">
        <v>3</v>
      </c>
      <c r="K35" s="7"/>
      <c r="L35" s="7" t="str">
        <f aca="false">IF(OR(K35="",J35=""),"",K35*(1+J35))</f>
        <v/>
      </c>
      <c r="M35" s="9" t="n">
        <v>321</v>
      </c>
      <c r="N35" s="9" t="n">
        <v>7</v>
      </c>
      <c r="O35" s="7" t="n">
        <v>10.7</v>
      </c>
      <c r="P35" s="9" t="n">
        <v>1</v>
      </c>
      <c r="Q35" s="7" t="n">
        <v>34.99</v>
      </c>
      <c r="R35" s="10" t="n">
        <f aca="false">IF(M35=0,0,N35/M35)</f>
        <v>0.0218068535825545</v>
      </c>
      <c r="S35" s="10" t="n">
        <f aca="false">IF(N35=0,0,P35/N35)</f>
        <v>0.142857142857143</v>
      </c>
      <c r="T35" s="7" t="n">
        <f aca="false">IF(N35=0,0,O35/N35)</f>
        <v>1.52857142857143</v>
      </c>
      <c r="U35" s="10" t="n">
        <f aca="false">IF(Q35=0,"",O35/Q35)</f>
        <v>0.305801657616462</v>
      </c>
      <c r="V35" s="21" t="n">
        <f aca="false">IF(O35=0,0,Q35/O35)</f>
        <v>3.27009345794393</v>
      </c>
      <c r="W35" s="9" t="n">
        <v>4</v>
      </c>
      <c r="X35" s="7" t="n">
        <v>6.92</v>
      </c>
      <c r="Y35" s="9" t="n">
        <v>0</v>
      </c>
      <c r="Z35" s="7" t="n">
        <v>0</v>
      </c>
      <c r="AA35" s="10" t="n">
        <f aca="false">IF(W35=0,0,Y35/W35)</f>
        <v>0</v>
      </c>
      <c r="AB35" s="10" t="str">
        <f aca="false">IF(Z35=0,"",X35/Z35)</f>
        <v/>
      </c>
      <c r="AC35" s="9" t="n">
        <v>2</v>
      </c>
      <c r="AD35" s="7" t="n">
        <v>2.57</v>
      </c>
      <c r="AE35" s="9" t="n">
        <v>0</v>
      </c>
      <c r="AF35" s="7" t="n">
        <v>0</v>
      </c>
      <c r="AG35" s="10" t="n">
        <f aca="false">IF(AC35=0,0,AE35/AC35)</f>
        <v>0</v>
      </c>
      <c r="AH35" s="9" t="n">
        <v>5</v>
      </c>
      <c r="AI35" s="7" t="n">
        <v>9.26</v>
      </c>
      <c r="AJ35" s="9" t="n">
        <v>1</v>
      </c>
      <c r="AK35" s="7" t="n">
        <v>0.75</v>
      </c>
      <c r="AL35" s="9" t="n">
        <v>1</v>
      </c>
      <c r="AM35" s="7" t="n">
        <v>0.69</v>
      </c>
      <c r="AN35" s="9" t="n">
        <v>0</v>
      </c>
      <c r="AO35" s="7" t="n">
        <v>0</v>
      </c>
      <c r="AP35" s="10" t="n">
        <f aca="false">IF(O35=0,0,AO35/O35)</f>
        <v>0</v>
      </c>
      <c r="AQ35" s="8" t="str">
        <f aca="false">IF(N35&lt;Rules!$B$10,"Under 20 clicks: too early",IF(P35=0,"20+ clicks, 0 orders: negate / pause",IF(N35&lt;Rules!$B$11,"Under 100 clicks: watch",IF(S35&gt;=Rules!$B$12,"4%+: keep",IF(S35&gt;=Rules!$B$13,"2% to 4%: hold at lower bid","Under 2%: pause")))))</f>
        <v>Under 20 clicks: too early</v>
      </c>
      <c r="AR35" s="8" t="str">
        <f aca="false">IF(O35=0,"",IF(Q35=0,"Spend, no sales",IF(U35&gt;Rules!$B$24,"Above 3x break-even","Within 3x break-even")))</f>
        <v>Within 3x break-even</v>
      </c>
      <c r="AS35" s="8" t="str">
        <f aca="false">IF(OR(J35="",H35&lt;&gt;"ENABLED"),"",IF(J35&gt;Rules!$B$9,"Above +300% cap","OK"))</f>
        <v>OK</v>
      </c>
      <c r="AT35" s="19" t="s">
        <v>259</v>
      </c>
      <c r="AU35" s="19" t="s">
        <v>260</v>
      </c>
      <c r="AV35" s="8" t="s">
        <v>124</v>
      </c>
      <c r="AW35" s="22"/>
      <c r="AX35" s="22"/>
    </row>
    <row r="36" customFormat="false" ht="23.85" hidden="false" customHeight="false" outlineLevel="0" collapsed="false">
      <c r="A36" s="18" t="s">
        <v>261</v>
      </c>
      <c r="B36" s="19" t="s">
        <v>262</v>
      </c>
      <c r="C36" s="19" t="s">
        <v>263</v>
      </c>
      <c r="D36" s="8" t="s">
        <v>141</v>
      </c>
      <c r="E36" s="8" t="s">
        <v>142</v>
      </c>
      <c r="F36" s="8" t="s">
        <v>143</v>
      </c>
      <c r="G36" s="19" t="s">
        <v>144</v>
      </c>
      <c r="H36" s="8" t="s">
        <v>130</v>
      </c>
      <c r="I36" s="7" t="n">
        <v>4.5</v>
      </c>
      <c r="J36" s="20"/>
      <c r="K36" s="7"/>
      <c r="L36" s="7" t="str">
        <f aca="false">IF(OR(K36="",J36=""),"",K36*(1+J36))</f>
        <v/>
      </c>
      <c r="M36" s="9" t="n">
        <v>1475</v>
      </c>
      <c r="N36" s="9" t="n">
        <v>16</v>
      </c>
      <c r="O36" s="7" t="n">
        <v>9.3</v>
      </c>
      <c r="P36" s="9" t="n">
        <v>0</v>
      </c>
      <c r="Q36" s="7" t="n">
        <v>0</v>
      </c>
      <c r="R36" s="10" t="n">
        <f aca="false">IF(M36=0,0,N36/M36)</f>
        <v>0.0108474576271186</v>
      </c>
      <c r="S36" s="10" t="n">
        <f aca="false">IF(N36=0,0,P36/N36)</f>
        <v>0</v>
      </c>
      <c r="T36" s="7" t="n">
        <f aca="false">IF(N36=0,0,O36/N36)</f>
        <v>0.58125</v>
      </c>
      <c r="U36" s="10" t="str">
        <f aca="false">IF(Q36=0,"",O36/Q36)</f>
        <v/>
      </c>
      <c r="V36" s="21" t="n">
        <f aca="false">IF(O36=0,0,Q36/O36)</f>
        <v>0</v>
      </c>
      <c r="W36" s="9" t="n">
        <v>10</v>
      </c>
      <c r="X36" s="7" t="n">
        <v>5.9</v>
      </c>
      <c r="Y36" s="9" t="n">
        <v>0</v>
      </c>
      <c r="Z36" s="7" t="n">
        <v>0</v>
      </c>
      <c r="AA36" s="10" t="n">
        <f aca="false">IF(W36=0,0,Y36/W36)</f>
        <v>0</v>
      </c>
      <c r="AB36" s="10" t="str">
        <f aca="false">IF(Z36=0,"",X36/Z36)</f>
        <v/>
      </c>
      <c r="AC36" s="9" t="n">
        <v>0</v>
      </c>
      <c r="AD36" s="7" t="n">
        <v>0</v>
      </c>
      <c r="AE36" s="9" t="n">
        <v>0</v>
      </c>
      <c r="AF36" s="7" t="n">
        <v>0</v>
      </c>
      <c r="AG36" s="10" t="n">
        <f aca="false">IF(AC36=0,0,AE36/AC36)</f>
        <v>0</v>
      </c>
      <c r="AH36" s="9" t="n">
        <v>1</v>
      </c>
      <c r="AI36" s="7" t="n">
        <v>0.45</v>
      </c>
      <c r="AJ36" s="9" t="n">
        <v>12</v>
      </c>
      <c r="AK36" s="7" t="n">
        <v>7.08</v>
      </c>
      <c r="AL36" s="9" t="n">
        <v>3</v>
      </c>
      <c r="AM36" s="7" t="n">
        <v>1.77</v>
      </c>
      <c r="AN36" s="9" t="n">
        <v>0</v>
      </c>
      <c r="AO36" s="7" t="n">
        <v>0</v>
      </c>
      <c r="AP36" s="10" t="n">
        <f aca="false">IF(O36=0,0,AO36/O36)</f>
        <v>0</v>
      </c>
      <c r="AQ36" s="8" t="str">
        <f aca="false">IF(N36&lt;Rules!$B$10,"Under 20 clicks: too early",IF(P36=0,"20+ clicks, 0 orders: negate / pause",IF(N36&lt;Rules!$B$11,"Under 100 clicks: watch",IF(S36&gt;=Rules!$B$12,"4%+: keep",IF(S36&gt;=Rules!$B$13,"2% to 4%: hold at lower bid","Under 2%: pause")))))</f>
        <v>Under 20 clicks: too early</v>
      </c>
      <c r="AR36" s="8" t="str">
        <f aca="false">IF(O36=0,"",IF(Q36=0,"Spend, no sales",IF(U36&gt;Rules!$B$24,"Above 3x break-even","Within 3x break-even")))</f>
        <v>Spend, no sales</v>
      </c>
      <c r="AS36" s="8" t="str">
        <f aca="false">IF(OR(J36="",H36&lt;&gt;"ENABLED"),"",IF(J36&gt;Rules!$B$9,"Above +300% cap","OK"))</f>
        <v/>
      </c>
      <c r="AT36" s="19" t="s">
        <v>162</v>
      </c>
      <c r="AU36" s="19" t="s">
        <v>239</v>
      </c>
      <c r="AV36" s="8" t="s">
        <v>164</v>
      </c>
      <c r="AW36" s="22"/>
      <c r="AX36" s="22"/>
    </row>
    <row r="37" customFormat="false" ht="23.85" hidden="false" customHeight="false" outlineLevel="0" collapsed="false">
      <c r="A37" s="18" t="s">
        <v>264</v>
      </c>
      <c r="B37" s="19" t="s">
        <v>265</v>
      </c>
      <c r="C37" s="19" t="s">
        <v>266</v>
      </c>
      <c r="D37" s="8" t="s">
        <v>141</v>
      </c>
      <c r="E37" s="8" t="s">
        <v>142</v>
      </c>
      <c r="F37" s="8" t="s">
        <v>143</v>
      </c>
      <c r="G37" s="19" t="s">
        <v>144</v>
      </c>
      <c r="H37" s="8" t="s">
        <v>112</v>
      </c>
      <c r="I37" s="7" t="n">
        <v>4.5</v>
      </c>
      <c r="J37" s="20" t="n">
        <v>0</v>
      </c>
      <c r="K37" s="7"/>
      <c r="L37" s="7" t="str">
        <f aca="false">IF(OR(K37="",J37=""),"",K37*(1+J37))</f>
        <v/>
      </c>
      <c r="M37" s="9" t="n">
        <v>1773</v>
      </c>
      <c r="N37" s="9" t="n">
        <v>13</v>
      </c>
      <c r="O37" s="7" t="n">
        <v>8.41</v>
      </c>
      <c r="P37" s="9" t="n">
        <v>0</v>
      </c>
      <c r="Q37" s="7" t="n">
        <v>0</v>
      </c>
      <c r="R37" s="10" t="n">
        <f aca="false">IF(M37=0,0,N37/M37)</f>
        <v>0.00733220530174845</v>
      </c>
      <c r="S37" s="10" t="n">
        <f aca="false">IF(N37=0,0,P37/N37)</f>
        <v>0</v>
      </c>
      <c r="T37" s="7" t="n">
        <f aca="false">IF(N37=0,0,O37/N37)</f>
        <v>0.646923076923077</v>
      </c>
      <c r="U37" s="10" t="str">
        <f aca="false">IF(Q37=0,"",O37/Q37)</f>
        <v/>
      </c>
      <c r="V37" s="21" t="n">
        <f aca="false">IF(O37=0,0,Q37/O37)</f>
        <v>0</v>
      </c>
      <c r="W37" s="9" t="n">
        <v>11</v>
      </c>
      <c r="X37" s="7" t="n">
        <v>7.11</v>
      </c>
      <c r="Y37" s="9" t="n">
        <v>0</v>
      </c>
      <c r="Z37" s="7" t="n">
        <v>0</v>
      </c>
      <c r="AA37" s="10" t="n">
        <f aca="false">IF(W37=0,0,Y37/W37)</f>
        <v>0</v>
      </c>
      <c r="AB37" s="10" t="str">
        <f aca="false">IF(Z37=0,"",X37/Z37)</f>
        <v/>
      </c>
      <c r="AC37" s="9" t="n">
        <v>10</v>
      </c>
      <c r="AD37" s="7" t="n">
        <v>6.46</v>
      </c>
      <c r="AE37" s="9" t="n">
        <v>0</v>
      </c>
      <c r="AF37" s="7" t="n">
        <v>0</v>
      </c>
      <c r="AG37" s="10" t="n">
        <f aca="false">IF(AC37=0,0,AE37/AC37)</f>
        <v>0</v>
      </c>
      <c r="AH37" s="9" t="n">
        <v>0</v>
      </c>
      <c r="AI37" s="7" t="n">
        <v>0</v>
      </c>
      <c r="AJ37" s="9" t="n">
        <v>13</v>
      </c>
      <c r="AK37" s="7" t="n">
        <v>8.41</v>
      </c>
      <c r="AL37" s="9" t="n">
        <v>0</v>
      </c>
      <c r="AM37" s="7" t="n">
        <v>0</v>
      </c>
      <c r="AN37" s="9" t="n">
        <v>0</v>
      </c>
      <c r="AO37" s="7" t="n">
        <v>0</v>
      </c>
      <c r="AP37" s="10" t="n">
        <f aca="false">IF(O37=0,0,AO37/O37)</f>
        <v>0</v>
      </c>
      <c r="AQ37" s="8" t="str">
        <f aca="false">IF(N37&lt;Rules!$B$10,"Under 20 clicks: too early",IF(P37=0,"20+ clicks, 0 orders: negate / pause",IF(N37&lt;Rules!$B$11,"Under 100 clicks: watch",IF(S37&gt;=Rules!$B$12,"4%+: keep",IF(S37&gt;=Rules!$B$13,"2% to 4%: hold at lower bid","Under 2%: pause")))))</f>
        <v>Under 20 clicks: too early</v>
      </c>
      <c r="AR37" s="8" t="str">
        <f aca="false">IF(O37=0,"",IF(Q37=0,"Spend, no sales",IF(U37&gt;Rules!$B$24,"Above 3x break-even","Within 3x break-even")))</f>
        <v>Spend, no sales</v>
      </c>
      <c r="AS37" s="8" t="str">
        <f aca="false">IF(OR(J37="",H37&lt;&gt;"ENABLED"),"",IF(J37&gt;Rules!$B$9,"Above +300% cap","OK"))</f>
        <v>OK</v>
      </c>
      <c r="AT37" s="19" t="s">
        <v>145</v>
      </c>
      <c r="AU37" s="19" t="s">
        <v>146</v>
      </c>
      <c r="AV37" s="8" t="s">
        <v>124</v>
      </c>
      <c r="AW37" s="22"/>
      <c r="AX37" s="22"/>
    </row>
    <row r="38" customFormat="false" ht="35.05" hidden="false" customHeight="false" outlineLevel="0" collapsed="false">
      <c r="A38" s="18" t="s">
        <v>267</v>
      </c>
      <c r="B38" s="19" t="s">
        <v>268</v>
      </c>
      <c r="C38" s="19" t="s">
        <v>269</v>
      </c>
      <c r="D38" s="8" t="s">
        <v>108</v>
      </c>
      <c r="E38" s="8" t="s">
        <v>119</v>
      </c>
      <c r="F38" s="8" t="s">
        <v>120</v>
      </c>
      <c r="G38" s="19" t="s">
        <v>121</v>
      </c>
      <c r="H38" s="8" t="s">
        <v>112</v>
      </c>
      <c r="I38" s="7" t="n">
        <v>8.7</v>
      </c>
      <c r="J38" s="20" t="n">
        <v>3.8</v>
      </c>
      <c r="K38" s="7"/>
      <c r="L38" s="7" t="str">
        <f aca="false">IF(OR(K38="",J38=""),"",K38*(1+J38))</f>
        <v/>
      </c>
      <c r="M38" s="9" t="n">
        <v>335</v>
      </c>
      <c r="N38" s="9" t="n">
        <v>6</v>
      </c>
      <c r="O38" s="7" t="n">
        <v>8.13</v>
      </c>
      <c r="P38" s="9" t="n">
        <v>0</v>
      </c>
      <c r="Q38" s="7" t="n">
        <v>0</v>
      </c>
      <c r="R38" s="10" t="n">
        <f aca="false">IF(M38=0,0,N38/M38)</f>
        <v>0.017910447761194</v>
      </c>
      <c r="S38" s="10" t="n">
        <f aca="false">IF(N38=0,0,P38/N38)</f>
        <v>0</v>
      </c>
      <c r="T38" s="7" t="n">
        <f aca="false">IF(N38=0,0,O38/N38)</f>
        <v>1.355</v>
      </c>
      <c r="U38" s="10" t="str">
        <f aca="false">IF(Q38=0,"",O38/Q38)</f>
        <v/>
      </c>
      <c r="V38" s="21" t="n">
        <f aca="false">IF(O38=0,0,Q38/O38)</f>
        <v>0</v>
      </c>
      <c r="W38" s="9" t="n">
        <v>3</v>
      </c>
      <c r="X38" s="7" t="n">
        <v>3.55</v>
      </c>
      <c r="Y38" s="9" t="n">
        <v>0</v>
      </c>
      <c r="Z38" s="7" t="n">
        <v>0</v>
      </c>
      <c r="AA38" s="10" t="n">
        <f aca="false">IF(W38=0,0,Y38/W38)</f>
        <v>0</v>
      </c>
      <c r="AB38" s="10" t="str">
        <f aca="false">IF(Z38=0,"",X38/Z38)</f>
        <v/>
      </c>
      <c r="AC38" s="9" t="n">
        <v>3</v>
      </c>
      <c r="AD38" s="7" t="n">
        <v>3.55</v>
      </c>
      <c r="AE38" s="9" t="n">
        <v>0</v>
      </c>
      <c r="AF38" s="7" t="n">
        <v>0</v>
      </c>
      <c r="AG38" s="10" t="n">
        <f aca="false">IF(AC38=0,0,AE38/AC38)</f>
        <v>0</v>
      </c>
      <c r="AH38" s="9" t="n">
        <v>4</v>
      </c>
      <c r="AI38" s="7" t="n">
        <v>6.41</v>
      </c>
      <c r="AJ38" s="9" t="n">
        <v>2</v>
      </c>
      <c r="AK38" s="7" t="n">
        <v>1.72</v>
      </c>
      <c r="AL38" s="9" t="n">
        <v>0</v>
      </c>
      <c r="AM38" s="7" t="n">
        <v>0</v>
      </c>
      <c r="AN38" s="9" t="n">
        <v>0</v>
      </c>
      <c r="AO38" s="7" t="n">
        <v>0</v>
      </c>
      <c r="AP38" s="10" t="n">
        <f aca="false">IF(O38=0,0,AO38/O38)</f>
        <v>0</v>
      </c>
      <c r="AQ38" s="8" t="str">
        <f aca="false">IF(N38&lt;Rules!$B$10,"Under 20 clicks: too early",IF(P38=0,"20+ clicks, 0 orders: negate / pause",IF(N38&lt;Rules!$B$11,"Under 100 clicks: watch",IF(S38&gt;=Rules!$B$12,"4%+: keep",IF(S38&gt;=Rules!$B$13,"2% to 4%: hold at lower bid","Under 2%: pause")))))</f>
        <v>Under 20 clicks: too early</v>
      </c>
      <c r="AR38" s="8" t="str">
        <f aca="false">IF(O38=0,"",IF(Q38=0,"Spend, no sales",IF(U38&gt;Rules!$B$24,"Above 3x break-even","Within 3x break-even")))</f>
        <v>Spend, no sales</v>
      </c>
      <c r="AS38" s="8" t="str">
        <f aca="false">IF(OR(J38="",H38&lt;&gt;"ENABLED"),"",IF(J38&gt;Rules!$B$9,"Above +300% cap","OK"))</f>
        <v>Above +300% cap</v>
      </c>
      <c r="AT38" s="19" t="s">
        <v>145</v>
      </c>
      <c r="AU38" s="19" t="s">
        <v>270</v>
      </c>
      <c r="AV38" s="8" t="s">
        <v>124</v>
      </c>
      <c r="AW38" s="22"/>
      <c r="AX38" s="22"/>
    </row>
    <row r="39" customFormat="false" ht="23.85" hidden="false" customHeight="false" outlineLevel="0" collapsed="false">
      <c r="A39" s="18" t="s">
        <v>271</v>
      </c>
      <c r="B39" s="19" t="s">
        <v>272</v>
      </c>
      <c r="C39" s="19" t="s">
        <v>273</v>
      </c>
      <c r="D39" s="8" t="s">
        <v>141</v>
      </c>
      <c r="E39" s="8" t="s">
        <v>142</v>
      </c>
      <c r="F39" s="8" t="s">
        <v>143</v>
      </c>
      <c r="G39" s="19" t="s">
        <v>144</v>
      </c>
      <c r="H39" s="8" t="s">
        <v>112</v>
      </c>
      <c r="I39" s="7" t="n">
        <v>4.5</v>
      </c>
      <c r="J39" s="20" t="n">
        <v>0</v>
      </c>
      <c r="K39" s="7"/>
      <c r="L39" s="7" t="str">
        <f aca="false">IF(OR(K39="",J39=""),"",K39*(1+J39))</f>
        <v/>
      </c>
      <c r="M39" s="9" t="n">
        <v>1531</v>
      </c>
      <c r="N39" s="9" t="n">
        <v>13</v>
      </c>
      <c r="O39" s="7" t="n">
        <v>7.28</v>
      </c>
      <c r="P39" s="9" t="n">
        <v>0</v>
      </c>
      <c r="Q39" s="7" t="n">
        <v>0</v>
      </c>
      <c r="R39" s="10" t="n">
        <f aca="false">IF(M39=0,0,N39/M39)</f>
        <v>0.0084911822338341</v>
      </c>
      <c r="S39" s="10" t="n">
        <f aca="false">IF(N39=0,0,P39/N39)</f>
        <v>0</v>
      </c>
      <c r="T39" s="7" t="n">
        <f aca="false">IF(N39=0,0,O39/N39)</f>
        <v>0.56</v>
      </c>
      <c r="U39" s="10" t="str">
        <f aca="false">IF(Q39=0,"",O39/Q39)</f>
        <v/>
      </c>
      <c r="V39" s="21" t="n">
        <f aca="false">IF(O39=0,0,Q39/O39)</f>
        <v>0</v>
      </c>
      <c r="W39" s="9" t="n">
        <v>13</v>
      </c>
      <c r="X39" s="7" t="n">
        <v>7.28</v>
      </c>
      <c r="Y39" s="9" t="n">
        <v>0</v>
      </c>
      <c r="Z39" s="7" t="n">
        <v>0</v>
      </c>
      <c r="AA39" s="10" t="n">
        <f aca="false">IF(W39=0,0,Y39/W39)</f>
        <v>0</v>
      </c>
      <c r="AB39" s="10" t="str">
        <f aca="false">IF(Z39=0,"",X39/Z39)</f>
        <v/>
      </c>
      <c r="AC39" s="9" t="n">
        <v>12</v>
      </c>
      <c r="AD39" s="7" t="n">
        <v>6.72</v>
      </c>
      <c r="AE39" s="9" t="n">
        <v>0</v>
      </c>
      <c r="AF39" s="7" t="n">
        <v>0</v>
      </c>
      <c r="AG39" s="10" t="n">
        <f aca="false">IF(AC39=0,0,AE39/AC39)</f>
        <v>0</v>
      </c>
      <c r="AH39" s="9" t="n">
        <v>3</v>
      </c>
      <c r="AI39" s="7" t="n">
        <v>1.68</v>
      </c>
      <c r="AJ39" s="9" t="n">
        <v>9</v>
      </c>
      <c r="AK39" s="7" t="n">
        <v>5.04</v>
      </c>
      <c r="AL39" s="9" t="n">
        <v>1</v>
      </c>
      <c r="AM39" s="7" t="n">
        <v>0.56</v>
      </c>
      <c r="AN39" s="9" t="n">
        <v>0</v>
      </c>
      <c r="AO39" s="7" t="n">
        <v>0</v>
      </c>
      <c r="AP39" s="10" t="n">
        <f aca="false">IF(O39=0,0,AO39/O39)</f>
        <v>0</v>
      </c>
      <c r="AQ39" s="8" t="str">
        <f aca="false">IF(N39&lt;Rules!$B$10,"Under 20 clicks: too early",IF(P39=0,"20+ clicks, 0 orders: negate / pause",IF(N39&lt;Rules!$B$11,"Under 100 clicks: watch",IF(S39&gt;=Rules!$B$12,"4%+: keep",IF(S39&gt;=Rules!$B$13,"2% to 4%: hold at lower bid","Under 2%: pause")))))</f>
        <v>Under 20 clicks: too early</v>
      </c>
      <c r="AR39" s="8" t="str">
        <f aca="false">IF(O39=0,"",IF(Q39=0,"Spend, no sales",IF(U39&gt;Rules!$B$24,"Above 3x break-even","Within 3x break-even")))</f>
        <v>Spend, no sales</v>
      </c>
      <c r="AS39" s="8" t="str">
        <f aca="false">IF(OR(J39="",H39&lt;&gt;"ENABLED"),"",IF(J39&gt;Rules!$B$9,"Above +300% cap","OK"))</f>
        <v>OK</v>
      </c>
      <c r="AT39" s="19" t="s">
        <v>145</v>
      </c>
      <c r="AU39" s="19" t="s">
        <v>146</v>
      </c>
      <c r="AV39" s="8" t="s">
        <v>124</v>
      </c>
      <c r="AW39" s="22"/>
      <c r="AX39" s="22"/>
    </row>
    <row r="40" customFormat="false" ht="35.05" hidden="false" customHeight="false" outlineLevel="0" collapsed="false">
      <c r="A40" s="18" t="s">
        <v>274</v>
      </c>
      <c r="B40" s="19" t="s">
        <v>275</v>
      </c>
      <c r="C40" s="19" t="s">
        <v>276</v>
      </c>
      <c r="D40" s="8" t="s">
        <v>108</v>
      </c>
      <c r="E40" s="8" t="s">
        <v>201</v>
      </c>
      <c r="F40" s="8" t="s">
        <v>120</v>
      </c>
      <c r="G40" s="19" t="s">
        <v>168</v>
      </c>
      <c r="H40" s="8" t="s">
        <v>112</v>
      </c>
      <c r="I40" s="7" t="n">
        <v>8.83</v>
      </c>
      <c r="J40" s="20" t="n">
        <v>4.4</v>
      </c>
      <c r="K40" s="7"/>
      <c r="L40" s="7" t="str">
        <f aca="false">IF(OR(K40="",J40=""),"",K40*(1+J40))</f>
        <v/>
      </c>
      <c r="M40" s="9" t="n">
        <v>234</v>
      </c>
      <c r="N40" s="9" t="n">
        <v>2</v>
      </c>
      <c r="O40" s="7" t="n">
        <v>6.03</v>
      </c>
      <c r="P40" s="9" t="n">
        <v>0</v>
      </c>
      <c r="Q40" s="7" t="n">
        <v>0</v>
      </c>
      <c r="R40" s="10" t="n">
        <f aca="false">IF(M40=0,0,N40/M40)</f>
        <v>0.00854700854700855</v>
      </c>
      <c r="S40" s="10" t="n">
        <f aca="false">IF(N40=0,0,P40/N40)</f>
        <v>0</v>
      </c>
      <c r="T40" s="7" t="n">
        <f aca="false">IF(N40=0,0,O40/N40)</f>
        <v>3.015</v>
      </c>
      <c r="U40" s="10" t="str">
        <f aca="false">IF(Q40=0,"",O40/Q40)</f>
        <v/>
      </c>
      <c r="V40" s="21" t="n">
        <f aca="false">IF(O40=0,0,Q40/O40)</f>
        <v>0</v>
      </c>
      <c r="W40" s="9" t="n">
        <v>0</v>
      </c>
      <c r="X40" s="7" t="n">
        <v>0</v>
      </c>
      <c r="Y40" s="9" t="n">
        <v>0</v>
      </c>
      <c r="Z40" s="7" t="n">
        <v>0</v>
      </c>
      <c r="AA40" s="10" t="n">
        <f aca="false">IF(W40=0,0,Y40/W40)</f>
        <v>0</v>
      </c>
      <c r="AB40" s="10" t="str">
        <f aca="false">IF(Z40=0,"",X40/Z40)</f>
        <v/>
      </c>
      <c r="AC40" s="9" t="n">
        <v>0</v>
      </c>
      <c r="AD40" s="7" t="n">
        <v>0</v>
      </c>
      <c r="AE40" s="9" t="n">
        <v>0</v>
      </c>
      <c r="AF40" s="7" t="n">
        <v>0</v>
      </c>
      <c r="AG40" s="10" t="n">
        <f aca="false">IF(AC40=0,0,AE40/AC40)</f>
        <v>0</v>
      </c>
      <c r="AH40" s="9" t="n">
        <v>2</v>
      </c>
      <c r="AI40" s="7" t="n">
        <v>6.03</v>
      </c>
      <c r="AJ40" s="9" t="n">
        <v>0</v>
      </c>
      <c r="AK40" s="7" t="n">
        <v>0</v>
      </c>
      <c r="AL40" s="9" t="n">
        <v>0</v>
      </c>
      <c r="AM40" s="7" t="n">
        <v>0</v>
      </c>
      <c r="AN40" s="9" t="n">
        <v>0</v>
      </c>
      <c r="AO40" s="7" t="n">
        <v>0</v>
      </c>
      <c r="AP40" s="10" t="n">
        <f aca="false">IF(O40=0,0,AO40/O40)</f>
        <v>0</v>
      </c>
      <c r="AQ40" s="8" t="str">
        <f aca="false">IF(N40&lt;Rules!$B$10,"Under 20 clicks: too early",IF(P40=0,"20+ clicks, 0 orders: negate / pause",IF(N40&lt;Rules!$B$11,"Under 100 clicks: watch",IF(S40&gt;=Rules!$B$12,"4%+: keep",IF(S40&gt;=Rules!$B$13,"2% to 4%: hold at lower bid","Under 2%: pause")))))</f>
        <v>Under 20 clicks: too early</v>
      </c>
      <c r="AR40" s="8" t="str">
        <f aca="false">IF(O40=0,"",IF(Q40=0,"Spend, no sales",IF(U40&gt;Rules!$B$24,"Above 3x break-even","Within 3x break-even")))</f>
        <v>Spend, no sales</v>
      </c>
      <c r="AS40" s="8" t="str">
        <f aca="false">IF(OR(J40="",H40&lt;&gt;"ENABLED"),"",IF(J40&gt;Rules!$B$9,"Above +300% cap","OK"))</f>
        <v>Above +300% cap</v>
      </c>
      <c r="AT40" s="19" t="s">
        <v>145</v>
      </c>
      <c r="AU40" s="19" t="s">
        <v>277</v>
      </c>
      <c r="AV40" s="8" t="s">
        <v>124</v>
      </c>
      <c r="AW40" s="22"/>
      <c r="AX40" s="22"/>
    </row>
    <row r="41" customFormat="false" ht="23.85" hidden="false" customHeight="false" outlineLevel="0" collapsed="false">
      <c r="A41" s="18" t="s">
        <v>278</v>
      </c>
      <c r="B41" s="19" t="s">
        <v>279</v>
      </c>
      <c r="C41" s="19" t="s">
        <v>280</v>
      </c>
      <c r="D41" s="8" t="s">
        <v>141</v>
      </c>
      <c r="E41" s="8" t="s">
        <v>142</v>
      </c>
      <c r="F41" s="8" t="s">
        <v>143</v>
      </c>
      <c r="G41" s="19" t="s">
        <v>144</v>
      </c>
      <c r="H41" s="8" t="s">
        <v>112</v>
      </c>
      <c r="I41" s="7" t="n">
        <v>4.5</v>
      </c>
      <c r="J41" s="20" t="n">
        <v>0</v>
      </c>
      <c r="K41" s="7"/>
      <c r="L41" s="7" t="str">
        <f aca="false">IF(OR(K41="",J41=""),"",K41*(1+J41))</f>
        <v/>
      </c>
      <c r="M41" s="9" t="n">
        <v>966</v>
      </c>
      <c r="N41" s="9" t="n">
        <v>4</v>
      </c>
      <c r="O41" s="7" t="n">
        <v>2.36</v>
      </c>
      <c r="P41" s="9" t="n">
        <v>0</v>
      </c>
      <c r="Q41" s="7" t="n">
        <v>0</v>
      </c>
      <c r="R41" s="10" t="n">
        <f aca="false">IF(M41=0,0,N41/M41)</f>
        <v>0.0041407867494824</v>
      </c>
      <c r="S41" s="10" t="n">
        <f aca="false">IF(N41=0,0,P41/N41)</f>
        <v>0</v>
      </c>
      <c r="T41" s="7" t="n">
        <f aca="false">IF(N41=0,0,O41/N41)</f>
        <v>0.59</v>
      </c>
      <c r="U41" s="10" t="str">
        <f aca="false">IF(Q41=0,"",O41/Q41)</f>
        <v/>
      </c>
      <c r="V41" s="21" t="n">
        <f aca="false">IF(O41=0,0,Q41/O41)</f>
        <v>0</v>
      </c>
      <c r="W41" s="9" t="n">
        <v>4</v>
      </c>
      <c r="X41" s="7" t="n">
        <v>2.36</v>
      </c>
      <c r="Y41" s="9" t="n">
        <v>0</v>
      </c>
      <c r="Z41" s="7" t="n">
        <v>0</v>
      </c>
      <c r="AA41" s="10" t="n">
        <f aca="false">IF(W41=0,0,Y41/W41)</f>
        <v>0</v>
      </c>
      <c r="AB41" s="10" t="str">
        <f aca="false">IF(Z41=0,"",X41/Z41)</f>
        <v/>
      </c>
      <c r="AC41" s="9" t="n">
        <v>3</v>
      </c>
      <c r="AD41" s="7" t="n">
        <v>1.77</v>
      </c>
      <c r="AE41" s="9" t="n">
        <v>0</v>
      </c>
      <c r="AF41" s="7" t="n">
        <v>0</v>
      </c>
      <c r="AG41" s="10" t="n">
        <f aca="false">IF(AC41=0,0,AE41/AC41)</f>
        <v>0</v>
      </c>
      <c r="AH41" s="9" t="n">
        <v>0</v>
      </c>
      <c r="AI41" s="7" t="n">
        <v>0</v>
      </c>
      <c r="AJ41" s="9" t="n">
        <v>4</v>
      </c>
      <c r="AK41" s="7" t="n">
        <v>2.36</v>
      </c>
      <c r="AL41" s="9" t="n">
        <v>0</v>
      </c>
      <c r="AM41" s="7" t="n">
        <v>0</v>
      </c>
      <c r="AN41" s="9" t="n">
        <v>0</v>
      </c>
      <c r="AO41" s="7" t="n">
        <v>0</v>
      </c>
      <c r="AP41" s="10" t="n">
        <f aca="false">IF(O41=0,0,AO41/O41)</f>
        <v>0</v>
      </c>
      <c r="AQ41" s="8" t="str">
        <f aca="false">IF(N41&lt;Rules!$B$10,"Under 20 clicks: too early",IF(P41=0,"20+ clicks, 0 orders: negate / pause",IF(N41&lt;Rules!$B$11,"Under 100 clicks: watch",IF(S41&gt;=Rules!$B$12,"4%+: keep",IF(S41&gt;=Rules!$B$13,"2% to 4%: hold at lower bid","Under 2%: pause")))))</f>
        <v>Under 20 clicks: too early</v>
      </c>
      <c r="AR41" s="8" t="str">
        <f aca="false">IF(O41=0,"",IF(Q41=0,"Spend, no sales",IF(U41&gt;Rules!$B$24,"Above 3x break-even","Within 3x break-even")))</f>
        <v>Spend, no sales</v>
      </c>
      <c r="AS41" s="8" t="str">
        <f aca="false">IF(OR(J41="",H41&lt;&gt;"ENABLED"),"",IF(J41&gt;Rules!$B$9,"Above +300% cap","OK"))</f>
        <v>OK</v>
      </c>
      <c r="AT41" s="19" t="s">
        <v>145</v>
      </c>
      <c r="AU41" s="19" t="s">
        <v>146</v>
      </c>
      <c r="AV41" s="8" t="s">
        <v>124</v>
      </c>
      <c r="AW41" s="22"/>
      <c r="AX41" s="22"/>
    </row>
    <row r="42" customFormat="false" ht="35.05" hidden="false" customHeight="false" outlineLevel="0" collapsed="false">
      <c r="A42" s="18" t="s">
        <v>281</v>
      </c>
      <c r="B42" s="19" t="s">
        <v>282</v>
      </c>
      <c r="C42" s="19" t="s">
        <v>283</v>
      </c>
      <c r="D42" s="8" t="s">
        <v>108</v>
      </c>
      <c r="E42" s="8" t="s">
        <v>221</v>
      </c>
      <c r="F42" s="8" t="s">
        <v>120</v>
      </c>
      <c r="G42" s="19" t="s">
        <v>121</v>
      </c>
      <c r="H42" s="8" t="s">
        <v>112</v>
      </c>
      <c r="I42" s="7" t="n">
        <v>19.76</v>
      </c>
      <c r="J42" s="20" t="n">
        <v>3.8</v>
      </c>
      <c r="K42" s="7"/>
      <c r="L42" s="7" t="str">
        <f aca="false">IF(OR(K42="",J42=""),"",K42*(1+J42))</f>
        <v/>
      </c>
      <c r="M42" s="9" t="n">
        <v>46</v>
      </c>
      <c r="N42" s="9" t="n">
        <v>2</v>
      </c>
      <c r="O42" s="7" t="n">
        <v>2.26</v>
      </c>
      <c r="P42" s="9" t="n">
        <v>0</v>
      </c>
      <c r="Q42" s="7" t="n">
        <v>0</v>
      </c>
      <c r="R42" s="10" t="n">
        <f aca="false">IF(M42=0,0,N42/M42)</f>
        <v>0.0434782608695652</v>
      </c>
      <c r="S42" s="10" t="n">
        <f aca="false">IF(N42=0,0,P42/N42)</f>
        <v>0</v>
      </c>
      <c r="T42" s="7" t="n">
        <f aca="false">IF(N42=0,0,O42/N42)</f>
        <v>1.13</v>
      </c>
      <c r="U42" s="10" t="str">
        <f aca="false">IF(Q42=0,"",O42/Q42)</f>
        <v/>
      </c>
      <c r="V42" s="21" t="n">
        <f aca="false">IF(O42=0,0,Q42/O42)</f>
        <v>0</v>
      </c>
      <c r="W42" s="9" t="n">
        <v>1</v>
      </c>
      <c r="X42" s="7" t="n">
        <v>1.11</v>
      </c>
      <c r="Y42" s="9" t="n">
        <v>0</v>
      </c>
      <c r="Z42" s="7" t="n">
        <v>0</v>
      </c>
      <c r="AA42" s="10" t="n">
        <f aca="false">IF(W42=0,0,Y42/W42)</f>
        <v>0</v>
      </c>
      <c r="AB42" s="10" t="str">
        <f aca="false">IF(Z42=0,"",X42/Z42)</f>
        <v/>
      </c>
      <c r="AC42" s="9" t="n">
        <v>1</v>
      </c>
      <c r="AD42" s="7" t="n">
        <v>1.11</v>
      </c>
      <c r="AE42" s="9" t="n">
        <v>0</v>
      </c>
      <c r="AF42" s="7" t="n">
        <v>0</v>
      </c>
      <c r="AG42" s="10" t="n">
        <f aca="false">IF(AC42=0,0,AE42/AC42)</f>
        <v>0</v>
      </c>
      <c r="AH42" s="9" t="n">
        <v>2</v>
      </c>
      <c r="AI42" s="7" t="n">
        <v>2.26</v>
      </c>
      <c r="AJ42" s="9" t="n">
        <v>0</v>
      </c>
      <c r="AK42" s="7" t="n">
        <v>0</v>
      </c>
      <c r="AL42" s="9" t="n">
        <v>0</v>
      </c>
      <c r="AM42" s="7" t="n">
        <v>0</v>
      </c>
      <c r="AN42" s="9" t="n">
        <v>0</v>
      </c>
      <c r="AO42" s="7" t="n">
        <v>0</v>
      </c>
      <c r="AP42" s="10" t="n">
        <f aca="false">IF(O42=0,0,AO42/O42)</f>
        <v>0</v>
      </c>
      <c r="AQ42" s="8" t="str">
        <f aca="false">IF(N42&lt;Rules!$B$10,"Under 20 clicks: too early",IF(P42=0,"20+ clicks, 0 orders: negate / pause",IF(N42&lt;Rules!$B$11,"Under 100 clicks: watch",IF(S42&gt;=Rules!$B$12,"4%+: keep",IF(S42&gt;=Rules!$B$13,"2% to 4%: hold at lower bid","Under 2%: pause")))))</f>
        <v>Under 20 clicks: too early</v>
      </c>
      <c r="AR42" s="8" t="str">
        <f aca="false">IF(O42=0,"",IF(Q42=0,"Spend, no sales",IF(U42&gt;Rules!$B$24,"Above 3x break-even","Within 3x break-even")))</f>
        <v>Spend, no sales</v>
      </c>
      <c r="AS42" s="8" t="str">
        <f aca="false">IF(OR(J42="",H42&lt;&gt;"ENABLED"),"",IF(J42&gt;Rules!$B$9,"Above +300% cap","OK"))</f>
        <v>Above +300% cap</v>
      </c>
      <c r="AT42" s="19" t="s">
        <v>145</v>
      </c>
      <c r="AU42" s="19" t="s">
        <v>284</v>
      </c>
      <c r="AV42" s="8" t="s">
        <v>124</v>
      </c>
      <c r="AW42" s="22"/>
      <c r="AX42" s="22"/>
    </row>
    <row r="43" customFormat="false" ht="35.05" hidden="false" customHeight="false" outlineLevel="0" collapsed="false">
      <c r="A43" s="18" t="s">
        <v>285</v>
      </c>
      <c r="B43" s="19" t="s">
        <v>286</v>
      </c>
      <c r="C43" s="19" t="s">
        <v>287</v>
      </c>
      <c r="D43" s="8" t="s">
        <v>108</v>
      </c>
      <c r="E43" s="8" t="s">
        <v>288</v>
      </c>
      <c r="F43" s="8" t="s">
        <v>120</v>
      </c>
      <c r="G43" s="19" t="s">
        <v>129</v>
      </c>
      <c r="H43" s="8" t="s">
        <v>112</v>
      </c>
      <c r="I43" s="7" t="n">
        <v>11.32</v>
      </c>
      <c r="J43" s="20" t="n">
        <v>3.8</v>
      </c>
      <c r="K43" s="7"/>
      <c r="L43" s="7" t="str">
        <f aca="false">IF(OR(K43="",J43=""),"",K43*(1+J43))</f>
        <v/>
      </c>
      <c r="M43" s="9" t="n">
        <v>16</v>
      </c>
      <c r="N43" s="9" t="n">
        <v>4</v>
      </c>
      <c r="O43" s="7" t="n">
        <v>1.38</v>
      </c>
      <c r="P43" s="9" t="n">
        <v>0</v>
      </c>
      <c r="Q43" s="7" t="n">
        <v>0</v>
      </c>
      <c r="R43" s="10" t="n">
        <f aca="false">IF(M43=0,0,N43/M43)</f>
        <v>0.25</v>
      </c>
      <c r="S43" s="10" t="n">
        <f aca="false">IF(N43=0,0,P43/N43)</f>
        <v>0</v>
      </c>
      <c r="T43" s="7" t="n">
        <f aca="false">IF(N43=0,0,O43/N43)</f>
        <v>0.345</v>
      </c>
      <c r="U43" s="10" t="str">
        <f aca="false">IF(Q43=0,"",O43/Q43)</f>
        <v/>
      </c>
      <c r="V43" s="21" t="n">
        <f aca="false">IF(O43=0,0,Q43/O43)</f>
        <v>0</v>
      </c>
      <c r="W43" s="9" t="n">
        <v>0</v>
      </c>
      <c r="X43" s="7" t="n">
        <v>0</v>
      </c>
      <c r="Y43" s="9" t="n">
        <v>0</v>
      </c>
      <c r="Z43" s="7" t="n">
        <v>0</v>
      </c>
      <c r="AA43" s="10" t="n">
        <f aca="false">IF(W43=0,0,Y43/W43)</f>
        <v>0</v>
      </c>
      <c r="AB43" s="10" t="str">
        <f aca="false">IF(Z43=0,"",X43/Z43)</f>
        <v/>
      </c>
      <c r="AC43" s="9" t="n">
        <v>0</v>
      </c>
      <c r="AD43" s="7" t="n">
        <v>0</v>
      </c>
      <c r="AE43" s="9" t="n">
        <v>0</v>
      </c>
      <c r="AF43" s="7" t="n">
        <v>0</v>
      </c>
      <c r="AG43" s="10" t="n">
        <f aca="false">IF(AC43=0,0,AE43/AC43)</f>
        <v>0</v>
      </c>
      <c r="AH43" s="9" t="n">
        <v>4</v>
      </c>
      <c r="AI43" s="7" t="n">
        <v>1.38</v>
      </c>
      <c r="AJ43" s="9" t="n">
        <v>0</v>
      </c>
      <c r="AK43" s="7" t="n">
        <v>0</v>
      </c>
      <c r="AL43" s="9" t="n">
        <v>0</v>
      </c>
      <c r="AM43" s="7" t="n">
        <v>0</v>
      </c>
      <c r="AN43" s="9" t="n">
        <v>0</v>
      </c>
      <c r="AO43" s="7" t="n">
        <v>0</v>
      </c>
      <c r="AP43" s="10" t="n">
        <f aca="false">IF(O43=0,0,AO43/O43)</f>
        <v>0</v>
      </c>
      <c r="AQ43" s="8" t="str">
        <f aca="false">IF(N43&lt;Rules!$B$10,"Under 20 clicks: too early",IF(P43=0,"20+ clicks, 0 orders: negate / pause",IF(N43&lt;Rules!$B$11,"Under 100 clicks: watch",IF(S43&gt;=Rules!$B$12,"4%+: keep",IF(S43&gt;=Rules!$B$13,"2% to 4%: hold at lower bid","Under 2%: pause")))))</f>
        <v>Under 20 clicks: too early</v>
      </c>
      <c r="AR43" s="8" t="str">
        <f aca="false">IF(O43=0,"",IF(Q43=0,"Spend, no sales",IF(U43&gt;Rules!$B$24,"Above 3x break-even","Within 3x break-even")))</f>
        <v>Spend, no sales</v>
      </c>
      <c r="AS43" s="8" t="str">
        <f aca="false">IF(OR(J43="",H43&lt;&gt;"ENABLED"),"",IF(J43&gt;Rules!$B$9,"Above +300% cap","OK"))</f>
        <v>Above +300% cap</v>
      </c>
      <c r="AT43" s="19" t="s">
        <v>289</v>
      </c>
      <c r="AU43" s="19" t="s">
        <v>290</v>
      </c>
      <c r="AV43" s="8" t="s">
        <v>124</v>
      </c>
      <c r="AW43" s="22"/>
      <c r="AX43" s="22"/>
    </row>
    <row r="44" customFormat="false" ht="23.85" hidden="false" customHeight="false" outlineLevel="0" collapsed="false">
      <c r="A44" s="18" t="s">
        <v>291</v>
      </c>
      <c r="B44" s="19" t="s">
        <v>292</v>
      </c>
      <c r="C44" s="19" t="s">
        <v>293</v>
      </c>
      <c r="D44" s="8" t="s">
        <v>141</v>
      </c>
      <c r="E44" s="8" t="s">
        <v>142</v>
      </c>
      <c r="F44" s="8" t="s">
        <v>143</v>
      </c>
      <c r="G44" s="19" t="s">
        <v>144</v>
      </c>
      <c r="H44" s="8" t="s">
        <v>112</v>
      </c>
      <c r="I44" s="7" t="n">
        <v>4.5</v>
      </c>
      <c r="J44" s="20" t="n">
        <v>0</v>
      </c>
      <c r="K44" s="7"/>
      <c r="L44" s="7" t="str">
        <f aca="false">IF(OR(K44="",J44=""),"",K44*(1+J44))</f>
        <v/>
      </c>
      <c r="M44" s="9" t="n">
        <v>367</v>
      </c>
      <c r="N44" s="9" t="n">
        <v>1</v>
      </c>
      <c r="O44" s="7" t="n">
        <v>0.59</v>
      </c>
      <c r="P44" s="9" t="n">
        <v>0</v>
      </c>
      <c r="Q44" s="7" t="n">
        <v>0</v>
      </c>
      <c r="R44" s="10" t="n">
        <f aca="false">IF(M44=0,0,N44/M44)</f>
        <v>0.00272479564032698</v>
      </c>
      <c r="S44" s="10" t="n">
        <f aca="false">IF(N44=0,0,P44/N44)</f>
        <v>0</v>
      </c>
      <c r="T44" s="7" t="n">
        <f aca="false">IF(N44=0,0,O44/N44)</f>
        <v>0.59</v>
      </c>
      <c r="U44" s="10" t="str">
        <f aca="false">IF(Q44=0,"",O44/Q44)</f>
        <v/>
      </c>
      <c r="V44" s="21" t="n">
        <f aca="false">IF(O44=0,0,Q44/O44)</f>
        <v>0</v>
      </c>
      <c r="W44" s="9" t="n">
        <v>1</v>
      </c>
      <c r="X44" s="7" t="n">
        <v>0.59</v>
      </c>
      <c r="Y44" s="9" t="n">
        <v>0</v>
      </c>
      <c r="Z44" s="7" t="n">
        <v>0</v>
      </c>
      <c r="AA44" s="10" t="n">
        <f aca="false">IF(W44=0,0,Y44/W44)</f>
        <v>0</v>
      </c>
      <c r="AB44" s="10" t="str">
        <f aca="false">IF(Z44=0,"",X44/Z44)</f>
        <v/>
      </c>
      <c r="AC44" s="9" t="n">
        <v>0</v>
      </c>
      <c r="AD44" s="7" t="n">
        <v>0</v>
      </c>
      <c r="AE44" s="9" t="n">
        <v>0</v>
      </c>
      <c r="AF44" s="7" t="n">
        <v>0</v>
      </c>
      <c r="AG44" s="10" t="n">
        <f aca="false">IF(AC44=0,0,AE44/AC44)</f>
        <v>0</v>
      </c>
      <c r="AH44" s="9" t="n">
        <v>0</v>
      </c>
      <c r="AI44" s="7" t="n">
        <v>0</v>
      </c>
      <c r="AJ44" s="9" t="n">
        <v>1</v>
      </c>
      <c r="AK44" s="7" t="n">
        <v>0.59</v>
      </c>
      <c r="AL44" s="9" t="n">
        <v>0</v>
      </c>
      <c r="AM44" s="7" t="n">
        <v>0</v>
      </c>
      <c r="AN44" s="9" t="n">
        <v>0</v>
      </c>
      <c r="AO44" s="7" t="n">
        <v>0</v>
      </c>
      <c r="AP44" s="10" t="n">
        <f aca="false">IF(O44=0,0,AO44/O44)</f>
        <v>0</v>
      </c>
      <c r="AQ44" s="8" t="str">
        <f aca="false">IF(N44&lt;Rules!$B$10,"Under 20 clicks: too early",IF(P44=0,"20+ clicks, 0 orders: negate / pause",IF(N44&lt;Rules!$B$11,"Under 100 clicks: watch",IF(S44&gt;=Rules!$B$12,"4%+: keep",IF(S44&gt;=Rules!$B$13,"2% to 4%: hold at lower bid","Under 2%: pause")))))</f>
        <v>Under 20 clicks: too early</v>
      </c>
      <c r="AR44" s="8" t="str">
        <f aca="false">IF(O44=0,"",IF(Q44=0,"Spend, no sales",IF(U44&gt;Rules!$B$24,"Above 3x break-even","Within 3x break-even")))</f>
        <v>Spend, no sales</v>
      </c>
      <c r="AS44" s="8" t="str">
        <f aca="false">IF(OR(J44="",H44&lt;&gt;"ENABLED"),"",IF(J44&gt;Rules!$B$9,"Above +300% cap","OK"))</f>
        <v>OK</v>
      </c>
      <c r="AT44" s="19" t="s">
        <v>145</v>
      </c>
      <c r="AU44" s="19" t="s">
        <v>146</v>
      </c>
      <c r="AV44" s="8" t="s">
        <v>124</v>
      </c>
      <c r="AW44" s="22"/>
      <c r="AX44" s="22"/>
    </row>
    <row r="45" customFormat="false" ht="35.05" hidden="false" customHeight="false" outlineLevel="0" collapsed="false">
      <c r="A45" s="18" t="s">
        <v>294</v>
      </c>
      <c r="B45" s="19" t="s">
        <v>295</v>
      </c>
      <c r="C45" s="19" t="s">
        <v>296</v>
      </c>
      <c r="D45" s="8" t="s">
        <v>108</v>
      </c>
      <c r="E45" s="8" t="s">
        <v>161</v>
      </c>
      <c r="F45" s="8" t="s">
        <v>120</v>
      </c>
      <c r="G45" s="19" t="s">
        <v>121</v>
      </c>
      <c r="H45" s="8" t="s">
        <v>112</v>
      </c>
      <c r="I45" s="7" t="n">
        <v>6.59</v>
      </c>
      <c r="J45" s="20" t="n">
        <v>3.8</v>
      </c>
      <c r="K45" s="7"/>
      <c r="L45" s="7" t="str">
        <f aca="false">IF(OR(K45="",J45=""),"",K45*(1+J45))</f>
        <v/>
      </c>
      <c r="M45" s="9" t="n">
        <v>7</v>
      </c>
      <c r="N45" s="9" t="n">
        <v>1</v>
      </c>
      <c r="O45" s="7" t="n">
        <v>0.5</v>
      </c>
      <c r="P45" s="9" t="n">
        <v>0</v>
      </c>
      <c r="Q45" s="7" t="n">
        <v>0</v>
      </c>
      <c r="R45" s="10" t="n">
        <f aca="false">IF(M45=0,0,N45/M45)</f>
        <v>0.142857142857143</v>
      </c>
      <c r="S45" s="10" t="n">
        <f aca="false">IF(N45=0,0,P45/N45)</f>
        <v>0</v>
      </c>
      <c r="T45" s="7" t="n">
        <f aca="false">IF(N45=0,0,O45/N45)</f>
        <v>0.5</v>
      </c>
      <c r="U45" s="10" t="str">
        <f aca="false">IF(Q45=0,"",O45/Q45)</f>
        <v/>
      </c>
      <c r="V45" s="21" t="n">
        <f aca="false">IF(O45=0,0,Q45/O45)</f>
        <v>0</v>
      </c>
      <c r="W45" s="9" t="n">
        <v>0</v>
      </c>
      <c r="X45" s="7" t="n">
        <v>0</v>
      </c>
      <c r="Y45" s="9" t="n">
        <v>0</v>
      </c>
      <c r="Z45" s="7" t="n">
        <v>0</v>
      </c>
      <c r="AA45" s="10" t="n">
        <f aca="false">IF(W45=0,0,Y45/W45)</f>
        <v>0</v>
      </c>
      <c r="AB45" s="10" t="str">
        <f aca="false">IF(Z45=0,"",X45/Z45)</f>
        <v/>
      </c>
      <c r="AC45" s="9" t="n">
        <v>0</v>
      </c>
      <c r="AD45" s="7" t="n">
        <v>0</v>
      </c>
      <c r="AE45" s="9" t="n">
        <v>0</v>
      </c>
      <c r="AF45" s="7" t="n">
        <v>0</v>
      </c>
      <c r="AG45" s="10" t="n">
        <f aca="false">IF(AC45=0,0,AE45/AC45)</f>
        <v>0</v>
      </c>
      <c r="AH45" s="9" t="n">
        <v>0</v>
      </c>
      <c r="AI45" s="7" t="n">
        <v>0</v>
      </c>
      <c r="AJ45" s="9" t="n">
        <v>0</v>
      </c>
      <c r="AK45" s="7" t="n">
        <v>0</v>
      </c>
      <c r="AL45" s="9" t="n">
        <v>1</v>
      </c>
      <c r="AM45" s="7" t="n">
        <v>0.5</v>
      </c>
      <c r="AN45" s="9" t="n">
        <v>0</v>
      </c>
      <c r="AO45" s="7" t="n">
        <v>0</v>
      </c>
      <c r="AP45" s="10" t="n">
        <f aca="false">IF(O45=0,0,AO45/O45)</f>
        <v>0</v>
      </c>
      <c r="AQ45" s="8" t="str">
        <f aca="false">IF(N45&lt;Rules!$B$10,"Under 20 clicks: too early",IF(P45=0,"20+ clicks, 0 orders: negate / pause",IF(N45&lt;Rules!$B$11,"Under 100 clicks: watch",IF(S45&gt;=Rules!$B$12,"4%+: keep",IF(S45&gt;=Rules!$B$13,"2% to 4%: hold at lower bid","Under 2%: pause")))))</f>
        <v>Under 20 clicks: too early</v>
      </c>
      <c r="AR45" s="8" t="str">
        <f aca="false">IF(O45=0,"",IF(Q45=0,"Spend, no sales",IF(U45&gt;Rules!$B$24,"Above 3x break-even","Within 3x break-even")))</f>
        <v>Spend, no sales</v>
      </c>
      <c r="AS45" s="8" t="str">
        <f aca="false">IF(OR(J45="",H45&lt;&gt;"ENABLED"),"",IF(J45&gt;Rules!$B$9,"Above +300% cap","OK"))</f>
        <v>Above +300% cap</v>
      </c>
      <c r="AT45" s="19" t="s">
        <v>145</v>
      </c>
      <c r="AU45" s="19" t="s">
        <v>297</v>
      </c>
      <c r="AV45" s="8" t="s">
        <v>124</v>
      </c>
      <c r="AW45" s="22"/>
      <c r="AX45" s="22"/>
    </row>
    <row r="46" customFormat="false" ht="15" hidden="false" customHeight="false" outlineLevel="0" collapsed="false">
      <c r="A46" s="23" t="s">
        <v>298</v>
      </c>
      <c r="B46" s="23"/>
      <c r="C46" s="23"/>
      <c r="D46" s="23"/>
      <c r="E46" s="23"/>
      <c r="F46" s="23"/>
      <c r="G46" s="23"/>
      <c r="H46" s="23"/>
      <c r="I46" s="24" t="n">
        <f aca="false">SUMIFS(I6:I45,H6:H45,"ENABLED")</f>
        <v>210.88</v>
      </c>
      <c r="J46" s="25"/>
      <c r="K46" s="24"/>
      <c r="L46" s="24"/>
      <c r="M46" s="26" t="n">
        <f aca="false">SUM(M6:M45)</f>
        <v>184807</v>
      </c>
      <c r="N46" s="26" t="n">
        <f aca="false">SUM(N6:N45)</f>
        <v>3093</v>
      </c>
      <c r="O46" s="24" t="n">
        <f aca="false">SUM(O6:O45)</f>
        <v>1648.02</v>
      </c>
      <c r="P46" s="26" t="n">
        <f aca="false">SUM(P6:P45)</f>
        <v>34</v>
      </c>
      <c r="Q46" s="24" t="n">
        <f aca="false">SUM(Q6:Q45)</f>
        <v>1072.65</v>
      </c>
      <c r="R46" s="27" t="n">
        <f aca="false">IF(M46=0,0,N46/M46)</f>
        <v>0.0167363790332617</v>
      </c>
      <c r="S46" s="27" t="n">
        <f aca="false">IF(N46=0,0,P46/N46)</f>
        <v>0.0109925638538636</v>
      </c>
      <c r="T46" s="24" t="n">
        <f aca="false">IF(N46=0,0,O46/N46)</f>
        <v>0.53282250242483</v>
      </c>
      <c r="U46" s="27" t="n">
        <f aca="false">IF(Q46=0,"",O46/Q46)</f>
        <v>1.53640050342609</v>
      </c>
      <c r="V46" s="28" t="n">
        <f aca="false">IF(O46=0,0,Q46/O46)</f>
        <v>0.650871955437434</v>
      </c>
      <c r="W46" s="26" t="n">
        <f aca="false">SUM(W6:W45)</f>
        <v>486</v>
      </c>
      <c r="X46" s="24" t="n">
        <f aca="false">SUM(X6:X45)</f>
        <v>487.49</v>
      </c>
      <c r="Y46" s="26" t="n">
        <f aca="false">SUM(Y6:Y45)</f>
        <v>4</v>
      </c>
      <c r="Z46" s="24" t="n">
        <f aca="false">SUM(Z6:Z45)</f>
        <v>131.96</v>
      </c>
      <c r="AA46" s="27" t="n">
        <f aca="false">IF(W46=0,0,Y46/W46)</f>
        <v>0.00823045267489712</v>
      </c>
      <c r="AB46" s="27" t="n">
        <f aca="false">IF(Z46=0,"",X46/Z46)</f>
        <v>3.69422552288572</v>
      </c>
      <c r="AC46" s="26" t="n">
        <f aca="false">SUM(AC6:AC45)</f>
        <v>215</v>
      </c>
      <c r="AD46" s="24" t="n">
        <f aca="false">SUM(AD6:AD45)</f>
        <v>236.54</v>
      </c>
      <c r="AE46" s="26" t="n">
        <f aca="false">SUM(AE6:AE45)</f>
        <v>2</v>
      </c>
      <c r="AF46" s="24" t="n">
        <f aca="false">SUM(AF6:AF45)</f>
        <v>69.98</v>
      </c>
      <c r="AG46" s="27" t="n">
        <f aca="false">IF(AC46=0,0,AE46/AC46)</f>
        <v>0.00930232558139535</v>
      </c>
      <c r="AH46" s="26" t="n">
        <f aca="false">SUM(AH6:AH45)</f>
        <v>429</v>
      </c>
      <c r="AI46" s="24" t="n">
        <f aca="false">SUM(AI6:AI45)</f>
        <v>660.55</v>
      </c>
      <c r="AJ46" s="26" t="n">
        <f aca="false">SUM(AJ6:AJ45)</f>
        <v>922</v>
      </c>
      <c r="AK46" s="24" t="n">
        <f aca="false">SUM(AK6:AK45)</f>
        <v>611.42</v>
      </c>
      <c r="AL46" s="26" t="n">
        <f aca="false">SUM(AL6:AL45)</f>
        <v>53</v>
      </c>
      <c r="AM46" s="24" t="n">
        <f aca="false">SUM(AM6:AM45)</f>
        <v>39.72</v>
      </c>
      <c r="AN46" s="26" t="n">
        <f aca="false">SUM(AN6:AN45)</f>
        <v>1686</v>
      </c>
      <c r="AO46" s="24" t="n">
        <f aca="false">SUM(AO6:AO45)</f>
        <v>336.34</v>
      </c>
      <c r="AP46" s="27" t="n">
        <f aca="false">IF(O46=0,0,AO46/O46)</f>
        <v>0.204087329037269</v>
      </c>
      <c r="AQ46" s="23"/>
      <c r="AR46" s="23"/>
      <c r="AS46" s="23"/>
      <c r="AT46" s="23"/>
      <c r="AU46" s="23"/>
      <c r="AV46" s="23"/>
      <c r="AW46" s="23"/>
      <c r="AX46" s="23"/>
    </row>
  </sheetData>
  <autoFilter ref="A5:AX45"/>
  <mergeCells count="8">
    <mergeCell ref="A4:G4"/>
    <mergeCell ref="H4:L4"/>
    <mergeCell ref="M4:V4"/>
    <mergeCell ref="W4:AB4"/>
    <mergeCell ref="AC4:AG4"/>
    <mergeCell ref="AH4:AP4"/>
    <mergeCell ref="AQ4:AS4"/>
    <mergeCell ref="AT4:AX4"/>
  </mergeCells>
  <conditionalFormatting sqref="AT6:AT45">
    <cfRule type="expression" priority="2" aboveAverage="0" equalAverage="0" bottom="0" percent="0" rank="0" text="" dxfId="8">
      <formula>LEFT($AT6,9)="Pause now"</formula>
    </cfRule>
    <cfRule type="expression" priority="3" aboveAverage="0" equalAverage="0" bottom="0" percent="0" rank="0" text="" dxfId="9">
      <formula>LEFT($AT6,6)="Joseph"</formula>
    </cfRule>
    <cfRule type="expression" priority="4" aboveAverage="0" equalAverage="0" bottom="0" percent="0" rank="0" text="" dxfId="10">
      <formula>LEFT($AT6,7)="Keep on"</formula>
    </cfRule>
  </conditionalFormatting>
  <conditionalFormatting sqref="H6:H45">
    <cfRule type="expression" priority="5" aboveAverage="0" equalAverage="0" bottom="0" percent="0" rank="0" text="" dxfId="10">
      <formula>$H6="ENABLED"</formula>
    </cfRule>
  </conditionalFormatting>
  <conditionalFormatting sqref="AQ6:AS45">
    <cfRule type="expression" priority="6" aboveAverage="0" equalAverage="0" bottom="0" percent="0" rank="0" text="" dxfId="8">
      <formula>OR(LEFT(AQ6,5)="20+ c",LEFT(AQ6,5)="Under",AQ6="Above +300% cap",LEFT(AR6,5)="Above",AR6="Spend, no sales")</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O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15" min="2" style="0" width="13"/>
  </cols>
  <sheetData>
    <row r="1" customFormat="false" ht="17.35" hidden="false" customHeight="false" outlineLevel="0" collapsed="false">
      <c r="A1" s="14" t="s">
        <v>299</v>
      </c>
    </row>
    <row r="2" customFormat="false" ht="15" hidden="false" customHeight="false" outlineLevel="0" collapsed="false">
      <c r="A2" s="15" t="s">
        <v>300</v>
      </c>
    </row>
    <row r="4" customFormat="false" ht="45" hidden="false" customHeight="true" outlineLevel="0" collapsed="false">
      <c r="A4" s="5" t="s">
        <v>73</v>
      </c>
      <c r="B4" s="5" t="s">
        <v>301</v>
      </c>
      <c r="C4" s="5" t="s">
        <v>302</v>
      </c>
      <c r="D4" s="5" t="s">
        <v>303</v>
      </c>
      <c r="E4" s="5" t="s">
        <v>304</v>
      </c>
      <c r="F4" s="5" t="s">
        <v>305</v>
      </c>
      <c r="G4" s="5" t="s">
        <v>306</v>
      </c>
      <c r="H4" s="5" t="s">
        <v>307</v>
      </c>
      <c r="I4" s="5" t="s">
        <v>308</v>
      </c>
      <c r="J4" s="5" t="s">
        <v>309</v>
      </c>
      <c r="K4" s="5" t="s">
        <v>310</v>
      </c>
      <c r="L4" s="5" t="s">
        <v>311</v>
      </c>
      <c r="M4" s="5" t="s">
        <v>312</v>
      </c>
      <c r="N4" s="5" t="s">
        <v>313</v>
      </c>
      <c r="O4" s="5" t="s">
        <v>314</v>
      </c>
    </row>
    <row r="5" customFormat="false" ht="15" hidden="false" customHeight="false" outlineLevel="0" collapsed="false">
      <c r="A5" s="8" t="s">
        <v>288</v>
      </c>
      <c r="B5" s="9" t="n">
        <f aca="false">COUNTIF(Campaigns!$E$6:$E$45,$A5)</f>
        <v>1</v>
      </c>
      <c r="C5" s="9" t="n">
        <f aca="false">COUNTIFS(Campaigns!$E$6:$E$45,$A5,Campaigns!$H$6:$H$45,"ENABLED")</f>
        <v>1</v>
      </c>
      <c r="D5" s="7" t="n">
        <f aca="false">SUMIFS(Campaigns!$I$6:$I$45,Campaigns!$E$6:$E$45,$A5,Campaigns!$H$6:$H$45,"ENABLED")</f>
        <v>11.32</v>
      </c>
      <c r="E5" s="7" t="n">
        <f aca="false">SUMIFS(Campaigns!$O$6:$O$45,Campaigns!$E$6:$E$45,$A5)</f>
        <v>1.38</v>
      </c>
      <c r="F5" s="9" t="n">
        <f aca="false">SUMIFS(Campaigns!$N$6:$N$45,Campaigns!$E$6:$E$45,$A5)</f>
        <v>4</v>
      </c>
      <c r="G5" s="9" t="n">
        <f aca="false">SUMIFS(Campaigns!$P$6:$P$45,Campaigns!$E$6:$E$45,$A5)</f>
        <v>0</v>
      </c>
      <c r="H5" s="10" t="n">
        <f aca="false">IF(F5=0,0,G5/F5)</f>
        <v>0</v>
      </c>
      <c r="I5" s="10" t="str">
        <f aca="false">IF(SUMIFS(Campaigns!$Q$6:$Q$45,Campaigns!$E$6:$E$45,$A5)=0,"",E5/SUMIFS(Campaigns!$Q$6:$Q$45,Campaigns!$E$6:$E$45,$A5))</f>
        <v/>
      </c>
      <c r="J5" s="7" t="n">
        <f aca="false">SUMIFS(Campaigns!$X$6:$X$45,Campaigns!$E$6:$E$45,$A5)</f>
        <v>0</v>
      </c>
      <c r="K5" s="9" t="n">
        <f aca="false">SUMIFS(Campaigns!$Y$6:$Y$45,Campaigns!$E$6:$E$45,$A5)</f>
        <v>0</v>
      </c>
      <c r="L5" s="7" t="n">
        <f aca="false">SUMIFS(Campaigns!$AD$6:$AD$45,Campaigns!$E$6:$E$45,$A5)</f>
        <v>0</v>
      </c>
      <c r="M5" s="9" t="n">
        <f aca="false">SUMIFS(Campaigns!$AC$6:$AC$45,Campaigns!$E$6:$E$45,$A5)</f>
        <v>0</v>
      </c>
      <c r="N5" s="9" t="n">
        <f aca="false">SUMIFS(Campaigns!$AE$6:$AE$45,Campaigns!$E$6:$E$45,$A5)</f>
        <v>0</v>
      </c>
      <c r="O5" s="10" t="n">
        <f aca="false">IF($L$13=0,0,L5/$L$13)</f>
        <v>0</v>
      </c>
    </row>
    <row r="6" customFormat="false" ht="15" hidden="false" customHeight="false" outlineLevel="0" collapsed="false">
      <c r="A6" s="8" t="s">
        <v>128</v>
      </c>
      <c r="B6" s="9" t="n">
        <f aca="false">COUNTIF(Campaigns!$E$6:$E$45,$A6)</f>
        <v>8</v>
      </c>
      <c r="C6" s="9" t="n">
        <f aca="false">COUNTIFS(Campaigns!$E$6:$E$45,$A6,Campaigns!$H$6:$H$45,"ENABLED")</f>
        <v>1</v>
      </c>
      <c r="D6" s="7" t="n">
        <f aca="false">SUMIFS(Campaigns!$I$6:$I$45,Campaigns!$E$6:$E$45,$A6,Campaigns!$H$6:$H$45,"ENABLED")</f>
        <v>9.41</v>
      </c>
      <c r="E6" s="7" t="n">
        <f aca="false">SUMIFS(Campaigns!$O$6:$O$45,Campaigns!$E$6:$E$45,$A6)</f>
        <v>600.48</v>
      </c>
      <c r="F6" s="9" t="n">
        <f aca="false">SUMIFS(Campaigns!$N$6:$N$45,Campaigns!$E$6:$E$45,$A6)</f>
        <v>765</v>
      </c>
      <c r="G6" s="9" t="n">
        <f aca="false">SUMIFS(Campaigns!$P$6:$P$45,Campaigns!$E$6:$E$45,$A6)</f>
        <v>12</v>
      </c>
      <c r="H6" s="10" t="n">
        <f aca="false">IF(F6=0,0,G6/F6)</f>
        <v>0.0156862745098039</v>
      </c>
      <c r="I6" s="10" t="n">
        <f aca="false">IF(SUMIFS(Campaigns!$Q$6:$Q$45,Campaigns!$E$6:$E$45,$A6)=0,"",E6/SUMIFS(Campaigns!$Q$6:$Q$45,Campaigns!$E$6:$E$45,$A6))</f>
        <v>1.56836524146577</v>
      </c>
      <c r="J6" s="7" t="n">
        <f aca="false">SUMIFS(Campaigns!$X$6:$X$45,Campaigns!$E$6:$E$45,$A6)</f>
        <v>98.24</v>
      </c>
      <c r="K6" s="9" t="n">
        <f aca="false">SUMIFS(Campaigns!$Y$6:$Y$45,Campaigns!$E$6:$E$45,$A6)</f>
        <v>3</v>
      </c>
      <c r="L6" s="7" t="n">
        <f aca="false">SUMIFS(Campaigns!$AD$6:$AD$45,Campaigns!$E$6:$E$45,$A6)</f>
        <v>29.79</v>
      </c>
      <c r="M6" s="9" t="n">
        <f aca="false">SUMIFS(Campaigns!$AC$6:$AC$45,Campaigns!$E$6:$E$45,$A6)</f>
        <v>40</v>
      </c>
      <c r="N6" s="9" t="n">
        <f aca="false">SUMIFS(Campaigns!$AE$6:$AE$45,Campaigns!$E$6:$E$45,$A6)</f>
        <v>1</v>
      </c>
      <c r="O6" s="10" t="n">
        <f aca="false">IF($L$13=0,0,L6/$L$13)</f>
        <v>0.125940644288492</v>
      </c>
    </row>
    <row r="7" customFormat="false" ht="15" hidden="false" customHeight="false" outlineLevel="0" collapsed="false">
      <c r="A7" s="8" t="s">
        <v>119</v>
      </c>
      <c r="B7" s="9" t="n">
        <f aca="false">COUNTIF(Campaigns!$E$6:$E$45,$A7)</f>
        <v>5</v>
      </c>
      <c r="C7" s="9" t="n">
        <f aca="false">COUNTIFS(Campaigns!$E$6:$E$45,$A7,Campaigns!$H$6:$H$45,"ENABLED")</f>
        <v>3</v>
      </c>
      <c r="D7" s="7" t="n">
        <f aca="false">SUMIFS(Campaigns!$I$6:$I$45,Campaigns!$E$6:$E$45,$A7,Campaigns!$H$6:$H$45,"ENABLED")</f>
        <v>41.69</v>
      </c>
      <c r="E7" s="7" t="n">
        <f aca="false">SUMIFS(Campaigns!$O$6:$O$45,Campaigns!$E$6:$E$45,$A7)</f>
        <v>248</v>
      </c>
      <c r="F7" s="9" t="n">
        <f aca="false">SUMIFS(Campaigns!$N$6:$N$45,Campaigns!$E$6:$E$45,$A7)</f>
        <v>559</v>
      </c>
      <c r="G7" s="9" t="n">
        <f aca="false">SUMIFS(Campaigns!$P$6:$P$45,Campaigns!$E$6:$E$45,$A7)</f>
        <v>6</v>
      </c>
      <c r="H7" s="10" t="n">
        <f aca="false">IF(F7=0,0,G7/F7)</f>
        <v>0.0107334525939177</v>
      </c>
      <c r="I7" s="10" t="n">
        <f aca="false">IF(SUMIFS(Campaigns!$Q$6:$Q$45,Campaigns!$E$6:$E$45,$A7)=0,"",E7/SUMIFS(Campaigns!$Q$6:$Q$45,Campaigns!$E$6:$E$45,$A7))</f>
        <v>1.33376357964935</v>
      </c>
      <c r="J7" s="7" t="n">
        <f aca="false">SUMIFS(Campaigns!$X$6:$X$45,Campaigns!$E$6:$E$45,$A7)</f>
        <v>70.1</v>
      </c>
      <c r="K7" s="9" t="n">
        <f aca="false">SUMIFS(Campaigns!$Y$6:$Y$45,Campaigns!$E$6:$E$45,$A7)</f>
        <v>0</v>
      </c>
      <c r="L7" s="7" t="n">
        <f aca="false">SUMIFS(Campaigns!$AD$6:$AD$45,Campaigns!$E$6:$E$45,$A7)</f>
        <v>23.14</v>
      </c>
      <c r="M7" s="9" t="n">
        <f aca="false">SUMIFS(Campaigns!$AC$6:$AC$45,Campaigns!$E$6:$E$45,$A7)</f>
        <v>12</v>
      </c>
      <c r="N7" s="9" t="n">
        <f aca="false">SUMIFS(Campaigns!$AE$6:$AE$45,Campaigns!$E$6:$E$45,$A7)</f>
        <v>0</v>
      </c>
      <c r="O7" s="10" t="n">
        <f aca="false">IF($L$13=0,0,L7/$L$13)</f>
        <v>0.097827006003213</v>
      </c>
    </row>
    <row r="8" customFormat="false" ht="15" hidden="false" customHeight="false" outlineLevel="0" collapsed="false">
      <c r="A8" s="8" t="s">
        <v>109</v>
      </c>
      <c r="B8" s="9" t="n">
        <f aca="false">COUNTIF(Campaigns!$E$6:$E$45,$A8)</f>
        <v>7</v>
      </c>
      <c r="C8" s="9" t="n">
        <f aca="false">COUNTIFS(Campaigns!$E$6:$E$45,$A8,Campaigns!$H$6:$H$45,"ENABLED")</f>
        <v>5</v>
      </c>
      <c r="D8" s="7" t="n">
        <f aca="false">SUMIFS(Campaigns!$I$6:$I$45,Campaigns!$E$6:$E$45,$A8,Campaigns!$H$6:$H$45,"ENABLED")</f>
        <v>55.67</v>
      </c>
      <c r="E8" s="7" t="n">
        <f aca="false">SUMIFS(Campaigns!$O$6:$O$45,Campaigns!$E$6:$E$45,$A8)</f>
        <v>402.68</v>
      </c>
      <c r="F8" s="9" t="n">
        <f aca="false">SUMIFS(Campaigns!$N$6:$N$45,Campaigns!$E$6:$E$45,$A8)</f>
        <v>1277</v>
      </c>
      <c r="G8" s="9" t="n">
        <f aca="false">SUMIFS(Campaigns!$P$6:$P$45,Campaigns!$E$6:$E$45,$A8)</f>
        <v>12</v>
      </c>
      <c r="H8" s="10" t="n">
        <f aca="false">IF(F8=0,0,G8/F8)</f>
        <v>0.00939702427564605</v>
      </c>
      <c r="I8" s="10" t="n">
        <f aca="false">IF(SUMIFS(Campaigns!$Q$6:$Q$45,Campaigns!$E$6:$E$45,$A8)=0,"",E8/SUMIFS(Campaigns!$Q$6:$Q$45,Campaigns!$E$6:$E$45,$A8))</f>
        <v>1.08282241583306</v>
      </c>
      <c r="J8" s="7" t="n">
        <f aca="false">SUMIFS(Campaigns!$X$6:$X$45,Campaigns!$E$6:$E$45,$A8)</f>
        <v>111.3</v>
      </c>
      <c r="K8" s="9" t="n">
        <f aca="false">SUMIFS(Campaigns!$Y$6:$Y$45,Campaigns!$E$6:$E$45,$A8)</f>
        <v>0</v>
      </c>
      <c r="L8" s="7" t="n">
        <f aca="false">SUMIFS(Campaigns!$AD$6:$AD$45,Campaigns!$E$6:$E$45,$A8)</f>
        <v>51.34</v>
      </c>
      <c r="M8" s="9" t="n">
        <f aca="false">SUMIFS(Campaigns!$AC$6:$AC$45,Campaigns!$E$6:$E$45,$A8)</f>
        <v>51</v>
      </c>
      <c r="N8" s="9" t="n">
        <f aca="false">SUMIFS(Campaigns!$AE$6:$AE$45,Campaigns!$E$6:$E$45,$A8)</f>
        <v>0</v>
      </c>
      <c r="O8" s="10" t="n">
        <f aca="false">IF($L$13=0,0,L8/$L$13)</f>
        <v>0.217045742791917</v>
      </c>
    </row>
    <row r="9" customFormat="false" ht="15" hidden="false" customHeight="false" outlineLevel="0" collapsed="false">
      <c r="A9" s="8" t="s">
        <v>201</v>
      </c>
      <c r="B9" s="9" t="n">
        <f aca="false">COUNTIF(Campaigns!$E$6:$E$45,$A9)</f>
        <v>3</v>
      </c>
      <c r="C9" s="9" t="n">
        <f aca="false">COUNTIFS(Campaigns!$E$6:$E$45,$A9,Campaigns!$H$6:$H$45,"ENABLED")</f>
        <v>2</v>
      </c>
      <c r="D9" s="7" t="n">
        <f aca="false">SUMIFS(Campaigns!$I$6:$I$45,Campaigns!$E$6:$E$45,$A9,Campaigns!$H$6:$H$45,"ENABLED")</f>
        <v>20.97</v>
      </c>
      <c r="E9" s="7" t="n">
        <f aca="false">SUMIFS(Campaigns!$O$6:$O$45,Campaigns!$E$6:$E$45,$A9)</f>
        <v>54.13</v>
      </c>
      <c r="F9" s="9" t="n">
        <f aca="false">SUMIFS(Campaigns!$N$6:$N$45,Campaigns!$E$6:$E$45,$A9)</f>
        <v>63</v>
      </c>
      <c r="G9" s="9" t="n">
        <f aca="false">SUMIFS(Campaigns!$P$6:$P$45,Campaigns!$E$6:$E$45,$A9)</f>
        <v>0</v>
      </c>
      <c r="H9" s="10" t="n">
        <f aca="false">IF(F9=0,0,G9/F9)</f>
        <v>0</v>
      </c>
      <c r="I9" s="10" t="str">
        <f aca="false">IF(SUMIFS(Campaigns!$Q$6:$Q$45,Campaigns!$E$6:$E$45,$A9)=0,"",E9/SUMIFS(Campaigns!$Q$6:$Q$45,Campaigns!$E$6:$E$45,$A9))</f>
        <v/>
      </c>
      <c r="J9" s="7" t="n">
        <f aca="false">SUMIFS(Campaigns!$X$6:$X$45,Campaigns!$E$6:$E$45,$A9)</f>
        <v>10.12</v>
      </c>
      <c r="K9" s="9" t="n">
        <f aca="false">SUMIFS(Campaigns!$Y$6:$Y$45,Campaigns!$E$6:$E$45,$A9)</f>
        <v>0</v>
      </c>
      <c r="L9" s="7" t="n">
        <f aca="false">SUMIFS(Campaigns!$AD$6:$AD$45,Campaigns!$E$6:$E$45,$A9)</f>
        <v>6.12</v>
      </c>
      <c r="M9" s="9" t="n">
        <f aca="false">SUMIFS(Campaigns!$AC$6:$AC$45,Campaigns!$E$6:$E$45,$A9)</f>
        <v>5</v>
      </c>
      <c r="N9" s="9" t="n">
        <f aca="false">SUMIFS(Campaigns!$AE$6:$AE$45,Campaigns!$E$6:$E$45,$A9)</f>
        <v>0</v>
      </c>
      <c r="O9" s="10" t="n">
        <f aca="false">IF($L$13=0,0,L9/$L$13)</f>
        <v>0.0258730024520166</v>
      </c>
    </row>
    <row r="10" customFormat="false" ht="15" hidden="false" customHeight="false" outlineLevel="0" collapsed="false">
      <c r="A10" s="8" t="s">
        <v>161</v>
      </c>
      <c r="B10" s="9" t="n">
        <f aca="false">COUNTIF(Campaigns!$E$6:$E$45,$A10)</f>
        <v>3</v>
      </c>
      <c r="C10" s="9" t="n">
        <f aca="false">COUNTIFS(Campaigns!$E$6:$E$45,$A10,Campaigns!$H$6:$H$45,"ENABLED")</f>
        <v>1</v>
      </c>
      <c r="D10" s="7" t="n">
        <f aca="false">SUMIFS(Campaigns!$I$6:$I$45,Campaigns!$E$6:$E$45,$A10,Campaigns!$H$6:$H$45,"ENABLED")</f>
        <v>6.59</v>
      </c>
      <c r="E10" s="7" t="n">
        <f aca="false">SUMIFS(Campaigns!$O$6:$O$45,Campaigns!$E$6:$E$45,$A10)</f>
        <v>100.45</v>
      </c>
      <c r="F10" s="9" t="n">
        <f aca="false">SUMIFS(Campaigns!$N$6:$N$45,Campaigns!$E$6:$E$45,$A10)</f>
        <v>113</v>
      </c>
      <c r="G10" s="9" t="n">
        <f aca="false">SUMIFS(Campaigns!$P$6:$P$45,Campaigns!$E$6:$E$45,$A10)</f>
        <v>2</v>
      </c>
      <c r="H10" s="10" t="n">
        <f aca="false">IF(F10=0,0,G10/F10)</f>
        <v>0.0176991150442478</v>
      </c>
      <c r="I10" s="10" t="n">
        <f aca="false">IF(SUMIFS(Campaigns!$Q$6:$Q$45,Campaigns!$E$6:$E$45,$A10)=0,"",E10/SUMIFS(Campaigns!$Q$6:$Q$45,Campaigns!$E$6:$E$45,$A10))</f>
        <v>1.62068409164247</v>
      </c>
      <c r="J10" s="7" t="n">
        <f aca="false">SUMIFS(Campaigns!$X$6:$X$45,Campaigns!$E$6:$E$45,$A10)</f>
        <v>0</v>
      </c>
      <c r="K10" s="9" t="n">
        <f aca="false">SUMIFS(Campaigns!$Y$6:$Y$45,Campaigns!$E$6:$E$45,$A10)</f>
        <v>0</v>
      </c>
      <c r="L10" s="7" t="n">
        <f aca="false">SUMIFS(Campaigns!$AD$6:$AD$45,Campaigns!$E$6:$E$45,$A10)</f>
        <v>0</v>
      </c>
      <c r="M10" s="9" t="n">
        <f aca="false">SUMIFS(Campaigns!$AC$6:$AC$45,Campaigns!$E$6:$E$45,$A10)</f>
        <v>0</v>
      </c>
      <c r="N10" s="9" t="n">
        <f aca="false">SUMIFS(Campaigns!$AE$6:$AE$45,Campaigns!$E$6:$E$45,$A10)</f>
        <v>0</v>
      </c>
      <c r="O10" s="10" t="n">
        <f aca="false">IF($L$13=0,0,L10/$L$13)</f>
        <v>0</v>
      </c>
    </row>
    <row r="11" customFormat="false" ht="15" hidden="false" customHeight="false" outlineLevel="0" collapsed="false">
      <c r="A11" s="8" t="s">
        <v>221</v>
      </c>
      <c r="B11" s="9" t="n">
        <f aca="false">COUNTIF(Campaigns!$E$6:$E$45,$A11)</f>
        <v>3</v>
      </c>
      <c r="C11" s="9" t="n">
        <f aca="false">COUNTIFS(Campaigns!$E$6:$E$45,$A11,Campaigns!$H$6:$H$45,"ENABLED")</f>
        <v>2</v>
      </c>
      <c r="D11" s="7" t="n">
        <f aca="false">SUMIFS(Campaigns!$I$6:$I$45,Campaigns!$E$6:$E$45,$A11,Campaigns!$H$6:$H$45,"ENABLED")</f>
        <v>33.73</v>
      </c>
      <c r="E11" s="7" t="n">
        <f aca="false">SUMIFS(Campaigns!$O$6:$O$45,Campaigns!$E$6:$E$45,$A11)</f>
        <v>37.03</v>
      </c>
      <c r="F11" s="9" t="n">
        <f aca="false">SUMIFS(Campaigns!$N$6:$N$45,Campaigns!$E$6:$E$45,$A11)</f>
        <v>88</v>
      </c>
      <c r="G11" s="9" t="n">
        <f aca="false">SUMIFS(Campaigns!$P$6:$P$45,Campaigns!$E$6:$E$45,$A11)</f>
        <v>1</v>
      </c>
      <c r="H11" s="10" t="n">
        <f aca="false">IF(F11=0,0,G11/F11)</f>
        <v>0.0113636363636364</v>
      </c>
      <c r="I11" s="10" t="n">
        <f aca="false">IF(SUMIFS(Campaigns!$Q$6:$Q$45,Campaigns!$E$6:$E$45,$A11)=0,"",E11/SUMIFS(Campaigns!$Q$6:$Q$45,Campaigns!$E$6:$E$45,$A11))</f>
        <v>1.05830237210632</v>
      </c>
      <c r="J11" s="7" t="n">
        <f aca="false">SUMIFS(Campaigns!$X$6:$X$45,Campaigns!$E$6:$E$45,$A11)</f>
        <v>8.03</v>
      </c>
      <c r="K11" s="9" t="n">
        <f aca="false">SUMIFS(Campaigns!$Y$6:$Y$45,Campaigns!$E$6:$E$45,$A11)</f>
        <v>0</v>
      </c>
      <c r="L11" s="7" t="n">
        <f aca="false">SUMIFS(Campaigns!$AD$6:$AD$45,Campaigns!$E$6:$E$45,$A11)</f>
        <v>3.68</v>
      </c>
      <c r="M11" s="9" t="n">
        <f aca="false">SUMIFS(Campaigns!$AC$6:$AC$45,Campaigns!$E$6:$E$45,$A11)</f>
        <v>3</v>
      </c>
      <c r="N11" s="9" t="n">
        <f aca="false">SUMIFS(Campaigns!$AE$6:$AE$45,Campaigns!$E$6:$E$45,$A11)</f>
        <v>0</v>
      </c>
      <c r="O11" s="10" t="n">
        <f aca="false">IF($L$13=0,0,L11/$L$13)</f>
        <v>0.0155576223894479</v>
      </c>
    </row>
    <row r="12" customFormat="false" ht="15" hidden="false" customHeight="false" outlineLevel="0" collapsed="false">
      <c r="A12" s="8" t="s">
        <v>142</v>
      </c>
      <c r="B12" s="9" t="n">
        <f aca="false">COUNTIF(Campaigns!$E$6:$E$45,$A12)</f>
        <v>10</v>
      </c>
      <c r="C12" s="9" t="n">
        <f aca="false">COUNTIFS(Campaigns!$E$6:$E$45,$A12,Campaigns!$H$6:$H$45,"ENABLED")</f>
        <v>7</v>
      </c>
      <c r="D12" s="7" t="n">
        <f aca="false">SUMIFS(Campaigns!$I$6:$I$45,Campaigns!$E$6:$E$45,$A12,Campaigns!$H$6:$H$45,"ENABLED")</f>
        <v>31.5</v>
      </c>
      <c r="E12" s="7" t="n">
        <f aca="false">SUMIFS(Campaigns!$O$6:$O$45,Campaigns!$E$6:$E$45,$A12)</f>
        <v>203.87</v>
      </c>
      <c r="F12" s="9" t="n">
        <f aca="false">SUMIFS(Campaigns!$N$6:$N$45,Campaigns!$E$6:$E$45,$A12)</f>
        <v>224</v>
      </c>
      <c r="G12" s="9" t="n">
        <f aca="false">SUMIFS(Campaigns!$P$6:$P$45,Campaigns!$E$6:$E$45,$A12)</f>
        <v>1</v>
      </c>
      <c r="H12" s="10" t="n">
        <f aca="false">IF(F12=0,0,G12/F12)</f>
        <v>0.00446428571428571</v>
      </c>
      <c r="I12" s="10" t="n">
        <f aca="false">IF(SUMIFS(Campaigns!$Q$6:$Q$45,Campaigns!$E$6:$E$45,$A12)=0,"",E12/SUMIFS(Campaigns!$Q$6:$Q$45,Campaigns!$E$6:$E$45,$A12))</f>
        <v>5.82652186338954</v>
      </c>
      <c r="J12" s="7" t="n">
        <f aca="false">SUMIFS(Campaigns!$X$6:$X$45,Campaigns!$E$6:$E$45,$A12)</f>
        <v>189.7</v>
      </c>
      <c r="K12" s="9" t="n">
        <f aca="false">SUMIFS(Campaigns!$Y$6:$Y$45,Campaigns!$E$6:$E$45,$A12)</f>
        <v>1</v>
      </c>
      <c r="L12" s="7" t="n">
        <f aca="false">SUMIFS(Campaigns!$AD$6:$AD$45,Campaigns!$E$6:$E$45,$A12)</f>
        <v>122.47</v>
      </c>
      <c r="M12" s="9" t="n">
        <f aca="false">SUMIFS(Campaigns!$AC$6:$AC$45,Campaigns!$E$6:$E$45,$A12)</f>
        <v>104</v>
      </c>
      <c r="N12" s="9" t="n">
        <f aca="false">SUMIFS(Campaigns!$AE$6:$AE$45,Campaigns!$E$6:$E$45,$A12)</f>
        <v>1</v>
      </c>
      <c r="O12" s="10" t="n">
        <f aca="false">IF($L$13=0,0,L12/$L$13)</f>
        <v>0.517755982074913</v>
      </c>
    </row>
    <row r="13" customFormat="false" ht="15" hidden="false" customHeight="false" outlineLevel="0" collapsed="false">
      <c r="A13" s="23" t="s">
        <v>315</v>
      </c>
      <c r="B13" s="26" t="n">
        <f aca="false">SUM(B5:B12)</f>
        <v>40</v>
      </c>
      <c r="C13" s="26" t="n">
        <f aca="false">SUM(C5:C12)</f>
        <v>22</v>
      </c>
      <c r="D13" s="24" t="n">
        <f aca="false">SUM(D5:D12)</f>
        <v>210.88</v>
      </c>
      <c r="E13" s="24" t="n">
        <f aca="false">SUM(E5:E12)</f>
        <v>1648.02</v>
      </c>
      <c r="F13" s="26" t="n">
        <f aca="false">SUM(F5:F12)</f>
        <v>3093</v>
      </c>
      <c r="G13" s="26" t="n">
        <f aca="false">SUM(G5:G12)</f>
        <v>34</v>
      </c>
      <c r="H13" s="27" t="n">
        <f aca="false">IF(F13=0,0,G13/F13)</f>
        <v>0.0109925638538636</v>
      </c>
      <c r="I13" s="27" t="n">
        <f aca="false">IF(SUM(Campaigns!$Q$6:$Q$45)=0,"",E13/SUM(Campaigns!$Q$6:$Q$45))</f>
        <v>1.53640050342609</v>
      </c>
      <c r="J13" s="24" t="n">
        <f aca="false">SUM(J5:J12)</f>
        <v>487.49</v>
      </c>
      <c r="K13" s="26" t="n">
        <f aca="false">SUM(K5:K12)</f>
        <v>4</v>
      </c>
      <c r="L13" s="24" t="n">
        <f aca="false">SUM(L5:L12)</f>
        <v>236.54</v>
      </c>
      <c r="M13" s="26" t="n">
        <f aca="false">SUM(M5:M12)</f>
        <v>215</v>
      </c>
      <c r="N13" s="26" t="n">
        <f aca="false">SUM(N5:N12)</f>
        <v>2</v>
      </c>
      <c r="O13" s="27" t="n">
        <f aca="false">SUM(O5:O12)</f>
        <v>1</v>
      </c>
    </row>
    <row r="15" customFormat="false" ht="15" hidden="false" customHeight="false" outlineLevel="0" collapsed="false">
      <c r="A15" s="3" t="s">
        <v>316</v>
      </c>
    </row>
    <row r="16" customFormat="false" ht="30" hidden="false" customHeight="true" outlineLevel="0" collapsed="false">
      <c r="A16" s="5" t="s">
        <v>317</v>
      </c>
      <c r="B16" s="5" t="s">
        <v>301</v>
      </c>
      <c r="C16" s="5" t="s">
        <v>302</v>
      </c>
      <c r="D16" s="5" t="s">
        <v>303</v>
      </c>
      <c r="E16" s="5" t="s">
        <v>311</v>
      </c>
      <c r="F16" s="5" t="s">
        <v>313</v>
      </c>
      <c r="G16" s="5" t="s">
        <v>314</v>
      </c>
    </row>
    <row r="17" customFormat="false" ht="15" hidden="false" customHeight="false" outlineLevel="0" collapsed="false">
      <c r="A17" s="8" t="s">
        <v>174</v>
      </c>
      <c r="B17" s="9" t="n">
        <f aca="false">COUNTIF(Campaigns!$G$6:$G$45,$A17)</f>
        <v>5</v>
      </c>
      <c r="C17" s="9" t="n">
        <f aca="false">COUNTIFS(Campaigns!$G$6:$G$45,$A17,Campaigns!$H$6:$H$45,"ENABLED")</f>
        <v>4</v>
      </c>
      <c r="D17" s="7" t="n">
        <f aca="false">SUMIFS(Campaigns!$I$6:$I$45,Campaigns!$G$6:$G$45,$A17,Campaigns!$H$6:$H$45,"ENABLED")</f>
        <v>25.58</v>
      </c>
      <c r="E17" s="7" t="n">
        <f aca="false">SUMIFS(Campaigns!$AD$6:$AD$45,Campaigns!$G$6:$G$45,$A17)</f>
        <v>29.86</v>
      </c>
      <c r="F17" s="9" t="n">
        <f aca="false">SUMIFS(Campaigns!$AE$6:$AE$45,Campaigns!$G$6:$G$45,$A17)</f>
        <v>0</v>
      </c>
      <c r="G17" s="10" t="n">
        <f aca="false">IF($L$13=0,0,E17/$L$13)</f>
        <v>0.126236577323074</v>
      </c>
    </row>
    <row r="18" customFormat="false" ht="15" hidden="false" customHeight="false" outlineLevel="0" collapsed="false">
      <c r="A18" s="8" t="s">
        <v>121</v>
      </c>
      <c r="B18" s="9" t="n">
        <f aca="false">COUNTIF(Campaigns!$G$6:$G$45,$A18)</f>
        <v>9</v>
      </c>
      <c r="C18" s="9" t="n">
        <f aca="false">COUNTIFS(Campaigns!$G$6:$G$45,$A18,Campaigns!$H$6:$H$45,"ENABLED")</f>
        <v>5</v>
      </c>
      <c r="D18" s="7" t="n">
        <f aca="false">SUMIFS(Campaigns!$I$6:$I$45,Campaigns!$G$6:$G$45,$A18,Campaigns!$H$6:$H$45,"ENABLED")</f>
        <v>62.06</v>
      </c>
      <c r="E18" s="7" t="n">
        <f aca="false">SUMIFS(Campaigns!$AD$6:$AD$45,Campaigns!$G$6:$G$45,$A18)</f>
        <v>19.71</v>
      </c>
      <c r="F18" s="9" t="n">
        <f aca="false">SUMIFS(Campaigns!$AE$6:$AE$45,Campaigns!$G$6:$G$45,$A18)</f>
        <v>0</v>
      </c>
      <c r="G18" s="10" t="n">
        <f aca="false">IF($L$13=0,0,E18/$L$13)</f>
        <v>0.0833262873087004</v>
      </c>
    </row>
    <row r="19" customFormat="false" ht="15" hidden="false" customHeight="false" outlineLevel="0" collapsed="false">
      <c r="A19" s="8" t="s">
        <v>144</v>
      </c>
      <c r="B19" s="9" t="n">
        <f aca="false">COUNTIF(Campaigns!$G$6:$G$45,$A19)</f>
        <v>10</v>
      </c>
      <c r="C19" s="9" t="n">
        <f aca="false">COUNTIFS(Campaigns!$G$6:$G$45,$A19,Campaigns!$H$6:$H$45,"ENABLED")</f>
        <v>7</v>
      </c>
      <c r="D19" s="7" t="n">
        <f aca="false">SUMIFS(Campaigns!$I$6:$I$45,Campaigns!$G$6:$G$45,$A19,Campaigns!$H$6:$H$45,"ENABLED")</f>
        <v>31.5</v>
      </c>
      <c r="E19" s="7" t="n">
        <f aca="false">SUMIFS(Campaigns!$AD$6:$AD$45,Campaigns!$G$6:$G$45,$A19)</f>
        <v>122.47</v>
      </c>
      <c r="F19" s="9" t="n">
        <f aca="false">SUMIFS(Campaigns!$AE$6:$AE$45,Campaigns!$G$6:$G$45,$A19)</f>
        <v>1</v>
      </c>
      <c r="G19" s="10" t="n">
        <f aca="false">IF($L$13=0,0,E19/$L$13)</f>
        <v>0.517755982074913</v>
      </c>
    </row>
    <row r="20" customFormat="false" ht="15" hidden="false" customHeight="false" outlineLevel="0" collapsed="false">
      <c r="A20" s="8" t="s">
        <v>230</v>
      </c>
      <c r="B20" s="9" t="n">
        <f aca="false">COUNTIF(Campaigns!$G$6:$G$45,$A20)</f>
        <v>1</v>
      </c>
      <c r="C20" s="9" t="n">
        <f aca="false">COUNTIFS(Campaigns!$G$6:$G$45,$A20,Campaigns!$H$6:$H$45,"ENABLED")</f>
        <v>1</v>
      </c>
      <c r="D20" s="7" t="n">
        <f aca="false">SUMIFS(Campaigns!$I$6:$I$45,Campaigns!$G$6:$G$45,$A20,Campaigns!$H$6:$H$45,"ENABLED")</f>
        <v>19.95</v>
      </c>
      <c r="E20" s="7" t="n">
        <f aca="false">SUMIFS(Campaigns!$AD$6:$AD$45,Campaigns!$G$6:$G$45,$A20)</f>
        <v>7.11</v>
      </c>
      <c r="F20" s="9" t="n">
        <f aca="false">SUMIFS(Campaigns!$AE$6:$AE$45,Campaigns!$G$6:$G$45,$A20)</f>
        <v>0</v>
      </c>
      <c r="G20" s="10" t="n">
        <f aca="false">IF($L$13=0,0,E20/$L$13)</f>
        <v>0.0300583410839604</v>
      </c>
    </row>
    <row r="21" customFormat="false" ht="15" hidden="false" customHeight="false" outlineLevel="0" collapsed="false">
      <c r="A21" s="8" t="s">
        <v>129</v>
      </c>
      <c r="B21" s="9" t="n">
        <f aca="false">COUNTIF(Campaigns!$G$6:$G$45,$A21)</f>
        <v>5</v>
      </c>
      <c r="C21" s="9" t="n">
        <f aca="false">COUNTIFS(Campaigns!$G$6:$G$45,$A21,Campaigns!$H$6:$H$45,"ENABLED")</f>
        <v>2</v>
      </c>
      <c r="D21" s="7" t="n">
        <f aca="false">SUMIFS(Campaigns!$I$6:$I$45,Campaigns!$G$6:$G$45,$A21,Campaigns!$H$6:$H$45,"ENABLED")</f>
        <v>20.73</v>
      </c>
      <c r="E21" s="7" t="n">
        <f aca="false">SUMIFS(Campaigns!$AD$6:$AD$45,Campaigns!$G$6:$G$45,$A21)</f>
        <v>29.79</v>
      </c>
      <c r="F21" s="9" t="n">
        <f aca="false">SUMIFS(Campaigns!$AE$6:$AE$45,Campaigns!$G$6:$G$45,$A21)</f>
        <v>1</v>
      </c>
      <c r="G21" s="10" t="n">
        <f aca="false">IF($L$13=0,0,E21/$L$13)</f>
        <v>0.125940644288492</v>
      </c>
    </row>
    <row r="22" customFormat="false" ht="15" hidden="false" customHeight="false" outlineLevel="0" collapsed="false">
      <c r="A22" s="8" t="s">
        <v>111</v>
      </c>
      <c r="B22" s="9" t="n">
        <f aca="false">COUNTIF(Campaigns!$G$6:$G$45,$A22)</f>
        <v>1</v>
      </c>
      <c r="C22" s="9" t="n">
        <f aca="false">COUNTIFS(Campaigns!$G$6:$G$45,$A22,Campaigns!$H$6:$H$45,"ENABLED")</f>
        <v>1</v>
      </c>
      <c r="D22" s="7" t="n">
        <f aca="false">SUMIFS(Campaigns!$I$6:$I$45,Campaigns!$G$6:$G$45,$A22,Campaigns!$H$6:$H$45,"ENABLED")</f>
        <v>30.09</v>
      </c>
      <c r="E22" s="7" t="n">
        <f aca="false">SUMIFS(Campaigns!$AD$6:$AD$45,Campaigns!$G$6:$G$45,$A22)</f>
        <v>21.48</v>
      </c>
      <c r="F22" s="9" t="n">
        <f aca="false">SUMIFS(Campaigns!$AE$6:$AE$45,Campaigns!$G$6:$G$45,$A22)</f>
        <v>0</v>
      </c>
      <c r="G22" s="10" t="n">
        <f aca="false">IF($L$13=0,0,E22/$L$13)</f>
        <v>0.0908091654688425</v>
      </c>
    </row>
    <row r="23" customFormat="false" ht="15" hidden="false" customHeight="false" outlineLevel="0" collapsed="false">
      <c r="A23" s="8" t="s">
        <v>155</v>
      </c>
      <c r="B23" s="9" t="n">
        <f aca="false">COUNTIF(Campaigns!$G$6:$G$45,$A23)</f>
        <v>1</v>
      </c>
      <c r="C23" s="9" t="n">
        <f aca="false">COUNTIFS(Campaigns!$G$6:$G$45,$A23,Campaigns!$H$6:$H$45,"ENABLED")</f>
        <v>0</v>
      </c>
      <c r="D23" s="7" t="n">
        <f aca="false">SUMIFS(Campaigns!$I$6:$I$45,Campaigns!$G$6:$G$45,$A23,Campaigns!$H$6:$H$45,"ENABLED")</f>
        <v>0</v>
      </c>
      <c r="E23" s="7" t="n">
        <f aca="false">SUMIFS(Campaigns!$AD$6:$AD$45,Campaigns!$G$6:$G$45,$A23)</f>
        <v>0</v>
      </c>
      <c r="F23" s="9" t="n">
        <f aca="false">SUMIFS(Campaigns!$AE$6:$AE$45,Campaigns!$G$6:$G$45,$A23)</f>
        <v>0</v>
      </c>
      <c r="G23" s="10" t="n">
        <f aca="false">IF($L$13=0,0,E23/$L$13)</f>
        <v>0</v>
      </c>
    </row>
    <row r="24" customFormat="false" ht="15" hidden="false" customHeight="false" outlineLevel="0" collapsed="false">
      <c r="A24" s="8" t="s">
        <v>168</v>
      </c>
      <c r="B24" s="9" t="n">
        <f aca="false">COUNTIF(Campaigns!$G$6:$G$45,$A24)</f>
        <v>8</v>
      </c>
      <c r="C24" s="9" t="n">
        <f aca="false">COUNTIFS(Campaigns!$G$6:$G$45,$A24,Campaigns!$H$6:$H$45,"ENABLED")</f>
        <v>2</v>
      </c>
      <c r="D24" s="7" t="n">
        <f aca="false">SUMIFS(Campaigns!$I$6:$I$45,Campaigns!$G$6:$G$45,$A24,Campaigns!$H$6:$H$45,"ENABLED")</f>
        <v>20.97</v>
      </c>
      <c r="E24" s="7" t="n">
        <f aca="false">SUMIFS(Campaigns!$AD$6:$AD$45,Campaigns!$G$6:$G$45,$A24)</f>
        <v>6.12</v>
      </c>
      <c r="F24" s="9" t="n">
        <f aca="false">SUMIFS(Campaigns!$AE$6:$AE$45,Campaigns!$G$6:$G$45,$A24)</f>
        <v>0</v>
      </c>
      <c r="G24" s="10" t="n">
        <f aca="false">IF($L$13=0,0,E24/$L$13)</f>
        <v>0.0258730024520166</v>
      </c>
    </row>
  </sheetData>
  <conditionalFormatting sqref="O5:O12">
    <cfRule type="expression" priority="2" aboveAverage="0" equalAverage="0" bottom="0" percent="0" rank="0" text="" dxfId="8">
      <formula>O5&gt;=0.2</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
    <col collapsed="false" customWidth="true" hidden="false" outlineLevel="0" max="3" min="3" style="0" width="12"/>
    <col collapsed="false" customWidth="true" hidden="false" outlineLevel="0" max="6" min="4" style="0" width="10"/>
    <col collapsed="false" customWidth="true" hidden="false" outlineLevel="0" max="7" min="7" style="0" width="12"/>
    <col collapsed="false" customWidth="true" hidden="false" outlineLevel="0" max="8" min="8" style="0" width="60"/>
  </cols>
  <sheetData>
    <row r="1" customFormat="false" ht="17.35" hidden="false" customHeight="false" outlineLevel="0" collapsed="false">
      <c r="A1" s="14" t="s">
        <v>318</v>
      </c>
    </row>
    <row r="2" customFormat="false" ht="30" hidden="false" customHeight="true" outlineLevel="0" collapsed="false">
      <c r="A2" s="29" t="s">
        <v>319</v>
      </c>
      <c r="B2" s="29"/>
      <c r="C2" s="29"/>
      <c r="D2" s="29"/>
      <c r="E2" s="29"/>
      <c r="F2" s="29"/>
      <c r="G2" s="29"/>
      <c r="H2" s="29"/>
    </row>
    <row r="4" customFormat="false" ht="30" hidden="false" customHeight="true" outlineLevel="0" collapsed="false">
      <c r="A4" s="5" t="s">
        <v>320</v>
      </c>
      <c r="B4" s="5" t="s">
        <v>13</v>
      </c>
      <c r="C4" s="5" t="s">
        <v>82</v>
      </c>
      <c r="D4" s="5" t="s">
        <v>14</v>
      </c>
      <c r="E4" s="5" t="s">
        <v>85</v>
      </c>
      <c r="F4" s="5" t="s">
        <v>86</v>
      </c>
      <c r="G4" s="5" t="s">
        <v>321</v>
      </c>
      <c r="H4" s="5" t="s">
        <v>322</v>
      </c>
    </row>
    <row r="5" customFormat="false" ht="15" hidden="false" customHeight="false" outlineLevel="0" collapsed="false">
      <c r="A5" s="8" t="s">
        <v>323</v>
      </c>
      <c r="B5" s="9" t="n">
        <f aca="false">SUM(Campaigns!$AH$6:$AH$45)</f>
        <v>429</v>
      </c>
      <c r="C5" s="7" t="n">
        <f aca="false">SUM(Campaigns!$AI$6:$AI$45)</f>
        <v>660.55</v>
      </c>
      <c r="D5" s="30" t="n">
        <v>11</v>
      </c>
      <c r="E5" s="10" t="n">
        <f aca="false">IF(B5=0,0,D5/B5)</f>
        <v>0.0256410256410256</v>
      </c>
      <c r="F5" s="7" t="n">
        <f aca="false">IF(B5=0,0,C5/B5)</f>
        <v>1.53974358974359</v>
      </c>
      <c r="G5" s="10" t="n">
        <f aca="false">IF($C$9=0,0,C5/$C$9)</f>
        <v>0.400811878424543</v>
      </c>
      <c r="H5" s="19" t="s">
        <v>324</v>
      </c>
    </row>
    <row r="6" customFormat="false" ht="15" hidden="false" customHeight="false" outlineLevel="0" collapsed="false">
      <c r="A6" s="8" t="s">
        <v>325</v>
      </c>
      <c r="B6" s="9" t="n">
        <f aca="false">SUM(Campaigns!$AJ$6:$AJ$45)</f>
        <v>922</v>
      </c>
      <c r="C6" s="7" t="n">
        <f aca="false">SUM(Campaigns!$AK$6:$AK$45)</f>
        <v>611.42</v>
      </c>
      <c r="D6" s="30" t="n">
        <v>6</v>
      </c>
      <c r="E6" s="10" t="n">
        <f aca="false">IF(B6=0,0,D6/B6)</f>
        <v>0.00650759219088937</v>
      </c>
      <c r="F6" s="7" t="n">
        <f aca="false">IF(B6=0,0,C6/B6)</f>
        <v>0.663145336225597</v>
      </c>
      <c r="G6" s="10" t="n">
        <f aca="false">IF($C$9=0,0,C6/$C$9)</f>
        <v>0.371000527903012</v>
      </c>
      <c r="H6" s="19" t="s">
        <v>326</v>
      </c>
    </row>
    <row r="7" customFormat="false" ht="15" hidden="false" customHeight="false" outlineLevel="0" collapsed="false">
      <c r="A7" s="8" t="s">
        <v>327</v>
      </c>
      <c r="B7" s="9" t="n">
        <f aca="false">SUM(Campaigns!$AL$6:$AL$45)</f>
        <v>53</v>
      </c>
      <c r="C7" s="7" t="n">
        <f aca="false">SUM(Campaigns!$AM$6:$AM$45)</f>
        <v>39.72</v>
      </c>
      <c r="D7" s="30" t="n">
        <v>1</v>
      </c>
      <c r="E7" s="10" t="n">
        <f aca="false">IF(B7=0,0,D7/B7)</f>
        <v>0.0188679245283019</v>
      </c>
      <c r="F7" s="7" t="n">
        <f aca="false">IF(B7=0,0,C7/B7)</f>
        <v>0.749433962264151</v>
      </c>
      <c r="G7" s="10" t="n">
        <f aca="false">IF($C$9=0,0,C7/$C$9)</f>
        <v>0.02410150300662</v>
      </c>
      <c r="H7" s="19" t="s">
        <v>328</v>
      </c>
    </row>
    <row r="8" customFormat="false" ht="15" hidden="false" customHeight="false" outlineLevel="0" collapsed="false">
      <c r="A8" s="8" t="s">
        <v>329</v>
      </c>
      <c r="B8" s="9" t="n">
        <f aca="false">SUM(Campaigns!$AN$6:$AN$45)</f>
        <v>1686</v>
      </c>
      <c r="C8" s="7" t="n">
        <f aca="false">SUM(Campaigns!$AO$6:$AO$45)</f>
        <v>336.34</v>
      </c>
      <c r="D8" s="9" t="n">
        <f aca="false">SUM(Campaigns!$P$6:$P$45)-SUM(D5:D7)</f>
        <v>16</v>
      </c>
      <c r="E8" s="10" t="n">
        <f aca="false">IF(B8=0,0,D8/B8)</f>
        <v>0.00948991696322657</v>
      </c>
      <c r="F8" s="7" t="n">
        <f aca="false">IF(B8=0,0,C8/B8)</f>
        <v>0.199489916963227</v>
      </c>
      <c r="G8" s="10" t="n">
        <f aca="false">IF($C$9=0,0,C8/$C$9)</f>
        <v>0.204086090665825</v>
      </c>
      <c r="H8" s="19" t="s">
        <v>330</v>
      </c>
    </row>
    <row r="9" customFormat="false" ht="15" hidden="false" customHeight="false" outlineLevel="0" collapsed="false">
      <c r="A9" s="23" t="s">
        <v>315</v>
      </c>
      <c r="B9" s="26" t="n">
        <f aca="false">SUM(B5:B8)</f>
        <v>3090</v>
      </c>
      <c r="C9" s="24" t="n">
        <f aca="false">SUM(C5:C8)</f>
        <v>1648.03</v>
      </c>
      <c r="D9" s="26" t="n">
        <f aca="false">SUM(D5:D8)</f>
        <v>34</v>
      </c>
      <c r="E9" s="27" t="n">
        <f aca="false">IF(B9=0,0,D9/B9)</f>
        <v>0.0110032362459547</v>
      </c>
      <c r="F9" s="24" t="n">
        <f aca="false">IF(B9=0,0,C9/B9)</f>
        <v>0.533343042071197</v>
      </c>
      <c r="G9" s="27" t="n">
        <f aca="false">SUM(G5:G8)</f>
        <v>1</v>
      </c>
      <c r="H9" s="31"/>
    </row>
    <row r="11" customFormat="false" ht="15" hidden="false" customHeight="false" outlineLevel="0" collapsed="false">
      <c r="A11" s="3" t="s">
        <v>331</v>
      </c>
    </row>
    <row r="12" customFormat="false" ht="75" hidden="false" customHeight="true" outlineLevel="0" collapsed="false">
      <c r="A12" s="4" t="s">
        <v>332</v>
      </c>
      <c r="B12" s="4"/>
      <c r="C12" s="4"/>
      <c r="D12" s="4"/>
      <c r="E12" s="4"/>
      <c r="F12" s="4"/>
      <c r="G12" s="4"/>
      <c r="H12" s="4"/>
    </row>
  </sheetData>
  <mergeCells count="2">
    <mergeCell ref="A2:H2"/>
    <mergeCell ref="A12:H1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17"/>
    <col collapsed="false" customWidth="true" hidden="false" outlineLevel="0" max="6" min="4" style="0" width="11"/>
    <col collapsed="false" customWidth="true" hidden="false" outlineLevel="0" max="7" min="7" style="0" width="12"/>
    <col collapsed="false" customWidth="true" hidden="false" outlineLevel="0" max="8" min="8" style="0" width="10"/>
    <col collapsed="false" customWidth="true" hidden="false" outlineLevel="0" max="9" min="9" style="0" width="20"/>
    <col collapsed="false" customWidth="true" hidden="false" outlineLevel="0" max="10" min="10" style="0" width="60"/>
  </cols>
  <sheetData>
    <row r="1" customFormat="false" ht="17.35" hidden="false" customHeight="false" outlineLevel="0" collapsed="false">
      <c r="A1" s="14" t="s">
        <v>333</v>
      </c>
    </row>
    <row r="2" customFormat="false" ht="15" hidden="false" customHeight="false" outlineLevel="0" collapsed="false">
      <c r="A2" s="15" t="s">
        <v>334</v>
      </c>
    </row>
    <row r="4" customFormat="false" ht="30" hidden="false" customHeight="true" outlineLevel="0" collapsed="false">
      <c r="A4" s="5" t="s">
        <v>335</v>
      </c>
      <c r="B4" s="5" t="s">
        <v>336</v>
      </c>
      <c r="C4" s="5" t="s">
        <v>69</v>
      </c>
      <c r="D4" s="5" t="s">
        <v>337</v>
      </c>
      <c r="E4" s="5" t="s">
        <v>338</v>
      </c>
      <c r="F4" s="5" t="s">
        <v>339</v>
      </c>
      <c r="G4" s="5" t="s">
        <v>340</v>
      </c>
      <c r="H4" s="5" t="s">
        <v>341</v>
      </c>
      <c r="I4" s="5" t="s">
        <v>342</v>
      </c>
      <c r="J4" s="5" t="s">
        <v>343</v>
      </c>
    </row>
    <row r="5" customFormat="false" ht="15" hidden="false" customHeight="false" outlineLevel="0" collapsed="false">
      <c r="A5" s="19" t="s">
        <v>154</v>
      </c>
      <c r="B5" s="19" t="s">
        <v>344</v>
      </c>
      <c r="C5" s="32" t="s">
        <v>152</v>
      </c>
      <c r="D5" s="19" t="str">
        <f aca="false">INDEX(Campaigns!$H$6:$H$45,MATCH($C5,Campaigns!$A$6:$A$45,0))</f>
        <v>PAUSED</v>
      </c>
      <c r="E5" s="33" t="n">
        <f aca="false">INDEX(Campaigns!$N$6:$N$45,MATCH($C5,Campaigns!$A$6:$A$45,0))</f>
        <v>71</v>
      </c>
      <c r="F5" s="33" t="n">
        <f aca="false">INDEX(Campaigns!$P$6:$P$45,MATCH($C5,Campaigns!$A$6:$A$45,0))</f>
        <v>0</v>
      </c>
      <c r="G5" s="34" t="n">
        <f aca="false">INDEX(Campaigns!$O$6:$O$45,MATCH($C5,Campaigns!$A$6:$A$45,0))</f>
        <v>63.38</v>
      </c>
      <c r="H5" s="35" t="n">
        <f aca="false">IF(E5=0,0,F5/E5)</f>
        <v>0</v>
      </c>
      <c r="I5" s="19" t="str">
        <f aca="false">IF(D5="PAUSED","Done","Still running: pause")</f>
        <v>Done</v>
      </c>
      <c r="J5" s="19" t="s">
        <v>345</v>
      </c>
    </row>
    <row r="6" customFormat="false" ht="15" hidden="false" customHeight="false" outlineLevel="0" collapsed="false">
      <c r="A6" s="19" t="s">
        <v>167</v>
      </c>
      <c r="B6" s="19" t="s">
        <v>346</v>
      </c>
      <c r="C6" s="32" t="s">
        <v>165</v>
      </c>
      <c r="D6" s="19" t="str">
        <f aca="false">INDEX(Campaigns!$H$6:$H$45,MATCH($C6,Campaigns!$A$6:$A$45,0))</f>
        <v>PAUSED</v>
      </c>
      <c r="E6" s="33" t="n">
        <f aca="false">INDEX(Campaigns!$N$6:$N$45,MATCH($C6,Campaigns!$A$6:$A$45,0))</f>
        <v>72</v>
      </c>
      <c r="F6" s="33" t="n">
        <f aca="false">INDEX(Campaigns!$P$6:$P$45,MATCH($C6,Campaigns!$A$6:$A$45,0))</f>
        <v>0</v>
      </c>
      <c r="G6" s="34" t="n">
        <f aca="false">INDEX(Campaigns!$O$6:$O$45,MATCH($C6,Campaigns!$A$6:$A$45,0))</f>
        <v>62.18</v>
      </c>
      <c r="H6" s="35" t="n">
        <f aca="false">IF(E6=0,0,F6/E6)</f>
        <v>0</v>
      </c>
      <c r="I6" s="19" t="str">
        <f aca="false">IF(D6="PAUSED","Done","Still running: pause")</f>
        <v>Done</v>
      </c>
      <c r="J6" s="19"/>
    </row>
    <row r="7" customFormat="false" ht="15" hidden="false" customHeight="false" outlineLevel="0" collapsed="false">
      <c r="A7" s="19" t="s">
        <v>209</v>
      </c>
      <c r="B7" s="19" t="s">
        <v>347</v>
      </c>
      <c r="C7" s="32" t="s">
        <v>207</v>
      </c>
      <c r="D7" s="19" t="str">
        <f aca="false">INDEX(Campaigns!$H$6:$H$45,MATCH($C7,Campaigns!$A$6:$A$45,0))</f>
        <v>PAUSED</v>
      </c>
      <c r="E7" s="33" t="n">
        <f aca="false">INDEX(Campaigns!$N$6:$N$45,MATCH($C7,Campaigns!$A$6:$A$45,0))</f>
        <v>32</v>
      </c>
      <c r="F7" s="33" t="n">
        <f aca="false">INDEX(Campaigns!$P$6:$P$45,MATCH($C7,Campaigns!$A$6:$A$45,0))</f>
        <v>0</v>
      </c>
      <c r="G7" s="34" t="n">
        <f aca="false">INDEX(Campaigns!$O$6:$O$45,MATCH($C7,Campaigns!$A$6:$A$45,0))</f>
        <v>27.55</v>
      </c>
      <c r="H7" s="35" t="n">
        <f aca="false">IF(E7=0,0,F7/E7)</f>
        <v>0</v>
      </c>
      <c r="I7" s="19" t="str">
        <f aca="false">IF(D7="PAUSED","Done","Still running: pause")</f>
        <v>Done</v>
      </c>
      <c r="J7" s="19"/>
    </row>
    <row r="8" customFormat="false" ht="15" hidden="false" customHeight="false" outlineLevel="0" collapsed="false">
      <c r="A8" s="19" t="s">
        <v>225</v>
      </c>
      <c r="B8" s="19" t="s">
        <v>348</v>
      </c>
      <c r="C8" s="32" t="s">
        <v>223</v>
      </c>
      <c r="D8" s="19" t="str">
        <f aca="false">INDEX(Campaigns!$H$6:$H$45,MATCH($C8,Campaigns!$A$6:$A$45,0))</f>
        <v>PAUSED</v>
      </c>
      <c r="E8" s="33" t="n">
        <f aca="false">INDEX(Campaigns!$N$6:$N$45,MATCH($C8,Campaigns!$A$6:$A$45,0))</f>
        <v>18</v>
      </c>
      <c r="F8" s="33" t="n">
        <f aca="false">INDEX(Campaigns!$P$6:$P$45,MATCH($C8,Campaigns!$A$6:$A$45,0))</f>
        <v>0</v>
      </c>
      <c r="G8" s="34" t="n">
        <f aca="false">INDEX(Campaigns!$O$6:$O$45,MATCH($C8,Campaigns!$A$6:$A$45,0))</f>
        <v>20.86</v>
      </c>
      <c r="H8" s="35" t="n">
        <f aca="false">IF(E8=0,0,F8/E8)</f>
        <v>0</v>
      </c>
      <c r="I8" s="19" t="str">
        <f aca="false">IF(D8="PAUSED","Done","Still running: pause")</f>
        <v>Done</v>
      </c>
      <c r="J8" s="19"/>
    </row>
    <row r="9" customFormat="false" ht="23.85" hidden="false" customHeight="false" outlineLevel="0" collapsed="false">
      <c r="A9" s="19" t="s">
        <v>178</v>
      </c>
      <c r="B9" s="19" t="s">
        <v>349</v>
      </c>
      <c r="C9" s="32" t="s">
        <v>176</v>
      </c>
      <c r="D9" s="19" t="str">
        <f aca="false">INDEX(Campaigns!$H$6:$H$45,MATCH($C9,Campaigns!$A$6:$A$45,0))</f>
        <v>PAUSED</v>
      </c>
      <c r="E9" s="33" t="n">
        <f aca="false">INDEX(Campaigns!$N$6:$N$45,MATCH($C9,Campaigns!$A$6:$A$45,0))</f>
        <v>50</v>
      </c>
      <c r="F9" s="33" t="n">
        <f aca="false">INDEX(Campaigns!$P$6:$P$45,MATCH($C9,Campaigns!$A$6:$A$45,0))</f>
        <v>2</v>
      </c>
      <c r="G9" s="34" t="n">
        <f aca="false">INDEX(Campaigns!$O$6:$O$45,MATCH($C9,Campaigns!$A$6:$A$45,0))</f>
        <v>44.85</v>
      </c>
      <c r="H9" s="35" t="n">
        <f aca="false">IF(E9=0,0,F9/E9)</f>
        <v>0.04</v>
      </c>
      <c r="I9" s="19" t="str">
        <f aca="false">IF(D9="PAUSED","Done","Still running: pause")</f>
        <v>Done</v>
      </c>
      <c r="J9" s="19" t="s">
        <v>350</v>
      </c>
    </row>
    <row r="10" customFormat="false" ht="15" hidden="false" customHeight="false" outlineLevel="0" collapsed="false">
      <c r="A10" s="19" t="s">
        <v>213</v>
      </c>
      <c r="B10" s="19" t="s">
        <v>351</v>
      </c>
      <c r="C10" s="32" t="s">
        <v>211</v>
      </c>
      <c r="D10" s="19" t="str">
        <f aca="false">INDEX(Campaigns!$H$6:$H$45,MATCH($C10,Campaigns!$A$6:$A$45,0))</f>
        <v>PAUSED</v>
      </c>
      <c r="E10" s="33" t="n">
        <f aca="false">INDEX(Campaigns!$N$6:$N$45,MATCH($C10,Campaigns!$A$6:$A$45,0))</f>
        <v>28</v>
      </c>
      <c r="F10" s="33" t="n">
        <f aca="false">INDEX(Campaigns!$P$6:$P$45,MATCH($C10,Campaigns!$A$6:$A$45,0))</f>
        <v>0</v>
      </c>
      <c r="G10" s="34" t="n">
        <f aca="false">INDEX(Campaigns!$O$6:$O$45,MATCH($C10,Campaigns!$A$6:$A$45,0))</f>
        <v>27.35</v>
      </c>
      <c r="H10" s="35" t="n">
        <f aca="false">IF(E10=0,0,F10/E10)</f>
        <v>0</v>
      </c>
      <c r="I10" s="19" t="str">
        <f aca="false">IF(D10="PAUSED","Done","Still running: pause")</f>
        <v>Done</v>
      </c>
      <c r="J10" s="19" t="s">
        <v>352</v>
      </c>
    </row>
    <row r="11" customFormat="false" ht="15" hidden="false" customHeight="false" outlineLevel="0" collapsed="false">
      <c r="A11" s="19" t="s">
        <v>234</v>
      </c>
      <c r="B11" s="19" t="s">
        <v>353</v>
      </c>
      <c r="C11" s="32" t="s">
        <v>232</v>
      </c>
      <c r="D11" s="19" t="str">
        <f aca="false">INDEX(Campaigns!$H$6:$H$45,MATCH($C11,Campaigns!$A$6:$A$45,0))</f>
        <v>PAUSED</v>
      </c>
      <c r="E11" s="33" t="n">
        <f aca="false">INDEX(Campaigns!$N$6:$N$45,MATCH($C11,Campaigns!$A$6:$A$45,0))</f>
        <v>43</v>
      </c>
      <c r="F11" s="33" t="n">
        <f aca="false">INDEX(Campaigns!$P$6:$P$45,MATCH($C11,Campaigns!$A$6:$A$45,0))</f>
        <v>0</v>
      </c>
      <c r="G11" s="34" t="n">
        <f aca="false">INDEX(Campaigns!$O$6:$O$45,MATCH($C11,Campaigns!$A$6:$A$45,0))</f>
        <v>19.66</v>
      </c>
      <c r="H11" s="35" t="n">
        <f aca="false">IF(E11=0,0,F11/E11)</f>
        <v>0</v>
      </c>
      <c r="I11" s="19" t="str">
        <f aca="false">IF(D11="PAUSED","Done","Still running: pause")</f>
        <v>Done</v>
      </c>
      <c r="J11" s="19"/>
    </row>
    <row r="12" customFormat="false" ht="15" hidden="false" customHeight="false" outlineLevel="0" collapsed="false">
      <c r="A12" s="19" t="s">
        <v>200</v>
      </c>
      <c r="B12" s="19" t="s">
        <v>353</v>
      </c>
      <c r="C12" s="32" t="s">
        <v>198</v>
      </c>
      <c r="D12" s="19" t="str">
        <f aca="false">INDEX(Campaigns!$H$6:$H$45,MATCH($C12,Campaigns!$A$6:$A$45,0))</f>
        <v>ENABLED</v>
      </c>
      <c r="E12" s="33" t="n">
        <f aca="false">INDEX(Campaigns!$N$6:$N$45,MATCH($C12,Campaigns!$A$6:$A$45,0))</f>
        <v>18</v>
      </c>
      <c r="F12" s="33" t="n">
        <f aca="false">INDEX(Campaigns!$P$6:$P$45,MATCH($C12,Campaigns!$A$6:$A$45,0))</f>
        <v>0</v>
      </c>
      <c r="G12" s="34" t="n">
        <f aca="false">INDEX(Campaigns!$O$6:$O$45,MATCH($C12,Campaigns!$A$6:$A$45,0))</f>
        <v>28.44</v>
      </c>
      <c r="H12" s="35" t="n">
        <f aca="false">IF(E12=0,0,F12/E12)</f>
        <v>0</v>
      </c>
      <c r="I12" s="19" t="str">
        <f aca="false">IF(D12="PAUSED","Done","Still running: pause")</f>
        <v>Still running: pause</v>
      </c>
      <c r="J12" s="19" t="s">
        <v>354</v>
      </c>
    </row>
    <row r="13" customFormat="false" ht="15" hidden="false" customHeight="false" outlineLevel="0" collapsed="false">
      <c r="A13" s="19" t="s">
        <v>276</v>
      </c>
      <c r="B13" s="19" t="s">
        <v>353</v>
      </c>
      <c r="C13" s="32" t="s">
        <v>274</v>
      </c>
      <c r="D13" s="19" t="str">
        <f aca="false">INDEX(Campaigns!$H$6:$H$45,MATCH($C13,Campaigns!$A$6:$A$45,0))</f>
        <v>ENABLED</v>
      </c>
      <c r="E13" s="33" t="n">
        <f aca="false">INDEX(Campaigns!$N$6:$N$45,MATCH($C13,Campaigns!$A$6:$A$45,0))</f>
        <v>2</v>
      </c>
      <c r="F13" s="33" t="n">
        <f aca="false">INDEX(Campaigns!$P$6:$P$45,MATCH($C13,Campaigns!$A$6:$A$45,0))</f>
        <v>0</v>
      </c>
      <c r="G13" s="34" t="n">
        <f aca="false">INDEX(Campaigns!$O$6:$O$45,MATCH($C13,Campaigns!$A$6:$A$45,0))</f>
        <v>6.03</v>
      </c>
      <c r="H13" s="35" t="n">
        <f aca="false">IF(E13=0,0,F13/E13)</f>
        <v>0</v>
      </c>
      <c r="I13" s="19" t="str">
        <f aca="false">IF(D13="PAUSED","Done","Still running: pause")</f>
        <v>Still running: pause</v>
      </c>
      <c r="J13" s="19" t="s">
        <v>354</v>
      </c>
    </row>
    <row r="14" customFormat="false" ht="23.85" hidden="false" customHeight="false" outlineLevel="0" collapsed="false">
      <c r="A14" s="19" t="s">
        <v>355</v>
      </c>
      <c r="B14" s="19" t="s">
        <v>353</v>
      </c>
      <c r="C14" s="32" t="s">
        <v>227</v>
      </c>
      <c r="D14" s="19" t="str">
        <f aca="false">INDEX(Campaigns!$H$6:$H$45,MATCH($C14,Campaigns!$A$6:$A$45,0))</f>
        <v>ENABLED</v>
      </c>
      <c r="E14" s="33" t="n">
        <f aca="false">INDEX(Campaigns!$N$6:$N$45,MATCH($C14,Campaigns!$A$6:$A$45,0))</f>
        <v>11</v>
      </c>
      <c r="F14" s="33" t="n">
        <f aca="false">INDEX(Campaigns!$P$6:$P$45,MATCH($C14,Campaigns!$A$6:$A$45,0))</f>
        <v>0</v>
      </c>
      <c r="G14" s="34" t="n">
        <f aca="false">INDEX(Campaigns!$O$6:$O$45,MATCH($C14,Campaigns!$A$6:$A$45,0))</f>
        <v>20.64</v>
      </c>
      <c r="H14" s="35" t="n">
        <f aca="false">IF(E14=0,0,F14/E14)</f>
        <v>0</v>
      </c>
      <c r="I14" s="19" t="str">
        <f aca="false">IF(D14="PAUSED","Done","Still running: pause")</f>
        <v>Still running: pause</v>
      </c>
      <c r="J14" s="19" t="s">
        <v>356</v>
      </c>
    </row>
    <row r="16" customFormat="false" ht="15" hidden="false" customHeight="false" outlineLevel="0" collapsed="false">
      <c r="A16" s="36" t="s">
        <v>30</v>
      </c>
      <c r="B16" s="36" t="str">
        <f aca="false">COUNTIF(I5:I13,"Done")&amp;" of "&amp;COUNTA(A5:A13)</f>
        <v>7 of 9</v>
      </c>
      <c r="C16" s="15" t="s">
        <v>357</v>
      </c>
    </row>
  </sheetData>
  <conditionalFormatting sqref="I5:I14">
    <cfRule type="expression" priority="2" aboveAverage="0" equalAverage="0" bottom="0" percent="0" rank="0" text="" dxfId="10">
      <formula>I5="Done"</formula>
    </cfRule>
    <cfRule type="expression" priority="3" aboveAverage="0" equalAverage="0" bottom="0" percent="0" rank="0" text="" dxfId="8">
      <formula>I5&lt;&gt;"Done"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32"/>
    <col collapsed="false" customWidth="true" hidden="false" outlineLevel="0" max="4" min="4" style="0" width="12"/>
    <col collapsed="false" customWidth="true" hidden="false" outlineLevel="0" max="5" min="5" style="0" width="52"/>
    <col collapsed="false" customWidth="true" hidden="false" outlineLevel="0" max="6" min="6" style="0" width="48"/>
    <col collapsed="false" customWidth="true" hidden="false" outlineLevel="0" max="7" min="7" style="0" width="16"/>
  </cols>
  <sheetData>
    <row r="1" customFormat="false" ht="17.35" hidden="false" customHeight="false" outlineLevel="0" collapsed="false">
      <c r="A1" s="14" t="s">
        <v>358</v>
      </c>
    </row>
    <row r="3" customFormat="false" ht="30" hidden="false" customHeight="true" outlineLevel="0" collapsed="false">
      <c r="A3" s="5" t="s">
        <v>359</v>
      </c>
      <c r="B3" s="5" t="s">
        <v>360</v>
      </c>
      <c r="C3" s="5" t="s">
        <v>361</v>
      </c>
      <c r="D3" s="5" t="s">
        <v>362</v>
      </c>
      <c r="E3" s="5" t="s">
        <v>363</v>
      </c>
      <c r="F3" s="5" t="s">
        <v>68</v>
      </c>
      <c r="G3" s="5" t="s">
        <v>364</v>
      </c>
    </row>
    <row r="4" customFormat="false" ht="23.85" hidden="false" customHeight="false" outlineLevel="0" collapsed="false">
      <c r="A4" s="19" t="s">
        <v>365</v>
      </c>
      <c r="B4" s="19" t="s">
        <v>366</v>
      </c>
      <c r="C4" s="19" t="s">
        <v>367</v>
      </c>
      <c r="D4" s="34" t="n">
        <f aca="false">Campaigns!I46</f>
        <v>210.88</v>
      </c>
      <c r="E4" s="19" t="s">
        <v>368</v>
      </c>
      <c r="F4" s="19" t="s">
        <v>369</v>
      </c>
      <c r="G4" s="19" t="s">
        <v>370</v>
      </c>
    </row>
    <row r="5" customFormat="false" ht="15" hidden="false" customHeight="false" outlineLevel="0" collapsed="false">
      <c r="A5" s="19" t="s">
        <v>371</v>
      </c>
      <c r="B5" s="19" t="s">
        <v>372</v>
      </c>
      <c r="C5" s="19" t="s">
        <v>373</v>
      </c>
      <c r="D5" s="34" t="n">
        <f aca="false">Overview!$C$12/15</f>
        <v>15.7693333333333</v>
      </c>
      <c r="E5" s="19" t="s">
        <v>374</v>
      </c>
      <c r="F5" s="19" t="s">
        <v>375</v>
      </c>
      <c r="G5" s="19" t="s">
        <v>124</v>
      </c>
    </row>
    <row r="6" customFormat="false" ht="23.85" hidden="false" customHeight="false" outlineLevel="0" collapsed="false">
      <c r="A6" s="19" t="s">
        <v>376</v>
      </c>
      <c r="B6" s="19" t="s">
        <v>377</v>
      </c>
      <c r="C6" s="19" t="s">
        <v>378</v>
      </c>
      <c r="D6" s="19" t="str">
        <f aca="false">INDEX(Campaigns!$H$6:$H$45,MATCH("94080520861158",Campaigns!$A$6:$A$45,0))</f>
        <v>ENABLED</v>
      </c>
      <c r="E6" s="19" t="s">
        <v>379</v>
      </c>
      <c r="F6" s="19" t="s">
        <v>380</v>
      </c>
      <c r="G6" s="19" t="s">
        <v>124</v>
      </c>
    </row>
    <row r="7" customFormat="false" ht="23.85" hidden="false" customHeight="false" outlineLevel="0" collapsed="false">
      <c r="A7" s="19" t="s">
        <v>381</v>
      </c>
      <c r="B7" s="19" t="s">
        <v>382</v>
      </c>
      <c r="C7" s="19" t="s">
        <v>383</v>
      </c>
      <c r="D7" s="19" t="str">
        <f aca="false">COUNTIFS(Campaigns!$G$6:$G$45,"Phase 0: run*",Campaigns!$E$6:$E$45,"Boho core",Campaigns!$H$6:$H$45,"ENABLED")&amp;" of 5"</f>
        <v>1 of 5</v>
      </c>
      <c r="E7" s="19" t="s">
        <v>384</v>
      </c>
      <c r="F7" s="19" t="s">
        <v>385</v>
      </c>
      <c r="G7" s="19" t="s">
        <v>115</v>
      </c>
    </row>
    <row r="8" customFormat="false" ht="23.85" hidden="false" customHeight="false" outlineLevel="0" collapsed="false">
      <c r="A8" s="19" t="s">
        <v>386</v>
      </c>
      <c r="B8" s="19" t="s">
        <v>387</v>
      </c>
      <c r="C8" s="19" t="s">
        <v>388</v>
      </c>
      <c r="D8" s="33" t="n">
        <f aca="false">COUNTIF(Campaigns!$AS$6:$AS$45,"Above +300% cap")</f>
        <v>10</v>
      </c>
      <c r="E8" s="19" t="s">
        <v>389</v>
      </c>
      <c r="F8" s="19" t="s">
        <v>390</v>
      </c>
      <c r="G8" s="19" t="s">
        <v>124</v>
      </c>
    </row>
    <row r="9" customFormat="false" ht="23.85" hidden="false" customHeight="false" outlineLevel="0" collapsed="false">
      <c r="A9" s="19" t="s">
        <v>391</v>
      </c>
      <c r="B9" s="19" t="s">
        <v>377</v>
      </c>
      <c r="C9" s="19" t="s">
        <v>392</v>
      </c>
      <c r="D9" s="34" t="n">
        <f aca="false">IF(INDEX(Campaigns!$W$6:$W$45,MATCH("43669682187702",Campaigns!$A$6:$A$45,0))=0,0,INDEX(Campaigns!$X$6:$X$45,MATCH("43669682187702",Campaigns!$A$6:$A$45,0))/INDEX(Campaigns!$W$6:$W$45,MATCH("43669682187702",Campaigns!$A$6:$A$45,0)))</f>
        <v>1.21928571428571</v>
      </c>
      <c r="E9" s="19" t="s">
        <v>393</v>
      </c>
      <c r="F9" s="19" t="s">
        <v>394</v>
      </c>
      <c r="G9" s="19" t="s">
        <v>115</v>
      </c>
    </row>
    <row r="10" customFormat="false" ht="23.85" hidden="false" customHeight="false" outlineLevel="0" collapsed="false">
      <c r="A10" s="19" t="s">
        <v>395</v>
      </c>
      <c r="B10" s="19" t="s">
        <v>396</v>
      </c>
      <c r="C10" s="19" t="s">
        <v>397</v>
      </c>
      <c r="D10" s="37" t="n">
        <v>80.07</v>
      </c>
      <c r="E10" s="19" t="s">
        <v>398</v>
      </c>
      <c r="F10" s="19" t="s">
        <v>399</v>
      </c>
      <c r="G10" s="19" t="s">
        <v>124</v>
      </c>
    </row>
    <row r="11" customFormat="false" ht="23.85" hidden="false" customHeight="false" outlineLevel="0" collapsed="false">
      <c r="A11" s="19" t="s">
        <v>400</v>
      </c>
      <c r="B11" s="19" t="s">
        <v>401</v>
      </c>
      <c r="C11" s="19" t="s">
        <v>402</v>
      </c>
      <c r="D11" s="33" t="n">
        <f aca="false">COUNTIFS(Campaigns!$G$6:$G$45,"Not in Phase 0*",Campaigns!$H$6:$H$45,"ENABLED")+COUNTIFS(Campaigns!$G$6:$G$45,"Exclude*",Campaigns!$H$6:$H$45,"ENABLED")+COUNTIFS(Campaigns!$G$6:$G$45,"Phase 0: stop list",Campaigns!$H$6:$H$45,"ENABLED")</f>
        <v>19</v>
      </c>
      <c r="E11" s="19" t="s">
        <v>403</v>
      </c>
      <c r="F11" s="19" t="s">
        <v>404</v>
      </c>
      <c r="G11" s="19" t="s">
        <v>124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M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7"/>
    <col collapsed="false" customWidth="true" hidden="false" outlineLevel="0" max="4" min="4" style="0" width="20"/>
    <col collapsed="false" customWidth="true" hidden="false" outlineLevel="0" max="9" min="5" style="0" width="10"/>
    <col collapsed="false" customWidth="true" hidden="false" outlineLevel="0" max="10" min="10" style="0" width="11"/>
    <col collapsed="false" customWidth="true" hidden="false" outlineLevel="0" max="11" min="11" style="0" width="46"/>
    <col collapsed="false" customWidth="true" hidden="false" outlineLevel="0" max="12" min="12" style="0" width="30"/>
    <col collapsed="false" customWidth="true" hidden="false" outlineLevel="0" max="13" min="13" style="0" width="10"/>
  </cols>
  <sheetData>
    <row r="1" customFormat="false" ht="17.35" hidden="false" customHeight="false" outlineLevel="0" collapsed="false">
      <c r="A1" s="14" t="s">
        <v>405</v>
      </c>
    </row>
    <row r="3" customFormat="false" ht="30" hidden="false" customHeight="true" outlineLevel="0" collapsed="false">
      <c r="A3" s="5" t="s">
        <v>406</v>
      </c>
      <c r="B3" s="5" t="s">
        <v>61</v>
      </c>
      <c r="C3" s="5" t="s">
        <v>69</v>
      </c>
      <c r="D3" s="5" t="s">
        <v>360</v>
      </c>
      <c r="E3" s="5" t="s">
        <v>337</v>
      </c>
      <c r="F3" s="5" t="s">
        <v>338</v>
      </c>
      <c r="G3" s="5" t="s">
        <v>339</v>
      </c>
      <c r="H3" s="5" t="s">
        <v>341</v>
      </c>
      <c r="I3" s="5" t="s">
        <v>407</v>
      </c>
      <c r="J3" s="5" t="s">
        <v>340</v>
      </c>
      <c r="K3" s="5" t="s">
        <v>408</v>
      </c>
      <c r="L3" s="5" t="s">
        <v>409</v>
      </c>
      <c r="M3" s="5" t="s">
        <v>410</v>
      </c>
    </row>
    <row r="4" customFormat="false" ht="23.85" hidden="false" customHeight="false" outlineLevel="0" collapsed="false">
      <c r="A4" s="19" t="n">
        <v>1</v>
      </c>
      <c r="B4" s="19" t="s">
        <v>149</v>
      </c>
      <c r="C4" s="32" t="s">
        <v>147</v>
      </c>
      <c r="D4" s="19" t="s">
        <v>377</v>
      </c>
      <c r="E4" s="19" t="str">
        <f aca="false">INDEX(Campaigns!$H$6:$H$45,MATCH($C4,Campaigns!$A$6:$A$45,0))</f>
        <v>PAUSED</v>
      </c>
      <c r="F4" s="33" t="n">
        <f aca="false">INDEX(Campaigns!$N$6:$N$45,MATCH($C4,Campaigns!$A$6:$A$45,0))</f>
        <v>125</v>
      </c>
      <c r="G4" s="33" t="n">
        <f aca="false">INDEX(Campaigns!$P$6:$P$45,MATCH($C4,Campaigns!$A$6:$A$45,0))</f>
        <v>3</v>
      </c>
      <c r="H4" s="35" t="n">
        <f aca="false">IF(F4=0,0,G4/F4)</f>
        <v>0.024</v>
      </c>
      <c r="I4" s="35" t="n">
        <f aca="false">INDEX(Campaigns!$U$6:$U$45,MATCH($C4,Campaigns!$A$6:$A$45,0))</f>
        <v>1.14536247993084</v>
      </c>
      <c r="J4" s="34" t="n">
        <f aca="false">INDEX(Campaigns!$O$6:$O$45,MATCH($C4,Campaigns!$A$6:$A$45,0))</f>
        <v>92.74</v>
      </c>
      <c r="K4" s="19" t="s">
        <v>411</v>
      </c>
      <c r="L4" s="38"/>
      <c r="M4" s="38"/>
    </row>
    <row r="5" customFormat="false" ht="23.85" hidden="false" customHeight="false" outlineLevel="0" collapsed="false">
      <c r="A5" s="19" t="n">
        <v>2</v>
      </c>
      <c r="B5" s="19" t="s">
        <v>127</v>
      </c>
      <c r="C5" s="32" t="s">
        <v>125</v>
      </c>
      <c r="D5" s="19" t="s">
        <v>377</v>
      </c>
      <c r="E5" s="19" t="str">
        <f aca="false">INDEX(Campaigns!$H$6:$H$45,MATCH($C5,Campaigns!$A$6:$A$45,0))</f>
        <v>PAUSED</v>
      </c>
      <c r="F5" s="33" t="n">
        <f aca="false">INDEX(Campaigns!$N$6:$N$45,MATCH($C5,Campaigns!$A$6:$A$45,0))</f>
        <v>187</v>
      </c>
      <c r="G5" s="33" t="n">
        <f aca="false">INDEX(Campaigns!$P$6:$P$45,MATCH($C5,Campaigns!$A$6:$A$45,0))</f>
        <v>3</v>
      </c>
      <c r="H5" s="35" t="n">
        <f aca="false">IF(F5=0,0,G5/F5)</f>
        <v>0.0160427807486631</v>
      </c>
      <c r="I5" s="35" t="n">
        <f aca="false">INDEX(Campaigns!$U$6:$U$45,MATCH($C5,Campaigns!$A$6:$A$45,0))</f>
        <v>1.55737889176127</v>
      </c>
      <c r="J5" s="34" t="n">
        <f aca="false">INDEX(Campaigns!$O$6:$O$45,MATCH($C5,Campaigns!$A$6:$A$45,0))</f>
        <v>138.56</v>
      </c>
      <c r="K5" s="19" t="s">
        <v>412</v>
      </c>
      <c r="L5" s="38"/>
      <c r="M5" s="38"/>
    </row>
    <row r="6" customFormat="false" ht="23.85" hidden="false" customHeight="false" outlineLevel="0" collapsed="false">
      <c r="A6" s="19" t="n">
        <v>3</v>
      </c>
      <c r="B6" s="19" t="s">
        <v>183</v>
      </c>
      <c r="C6" s="32" t="s">
        <v>181</v>
      </c>
      <c r="D6" s="19" t="s">
        <v>413</v>
      </c>
      <c r="E6" s="19" t="str">
        <f aca="false">INDEX(Campaigns!$H$6:$H$45,MATCH($C6,Campaigns!$A$6:$A$45,0))</f>
        <v>PAUSED</v>
      </c>
      <c r="F6" s="33" t="n">
        <f aca="false">INDEX(Campaigns!$N$6:$N$45,MATCH($C6,Campaigns!$A$6:$A$45,0))</f>
        <v>44</v>
      </c>
      <c r="G6" s="33" t="n">
        <f aca="false">INDEX(Campaigns!$P$6:$P$45,MATCH($C6,Campaigns!$A$6:$A$45,0))</f>
        <v>0</v>
      </c>
      <c r="H6" s="35" t="n">
        <f aca="false">IF(F6=0,0,G6/F6)</f>
        <v>0</v>
      </c>
      <c r="I6" s="35" t="str">
        <f aca="false">INDEX(Campaigns!$U$6:$U$45,MATCH($C6,Campaigns!$A$6:$A$45,0))</f>
        <v/>
      </c>
      <c r="J6" s="34" t="n">
        <f aca="false">INDEX(Campaigns!$O$6:$O$45,MATCH($C6,Campaigns!$A$6:$A$45,0))</f>
        <v>42.81</v>
      </c>
      <c r="K6" s="19" t="s">
        <v>414</v>
      </c>
      <c r="L6" s="38"/>
      <c r="M6" s="38"/>
    </row>
    <row r="7" customFormat="false" ht="15" hidden="false" customHeight="false" outlineLevel="0" collapsed="false">
      <c r="A7" s="19" t="n">
        <v>4</v>
      </c>
      <c r="B7" s="19" t="s">
        <v>154</v>
      </c>
      <c r="C7" s="32" t="s">
        <v>152</v>
      </c>
      <c r="D7" s="19" t="s">
        <v>415</v>
      </c>
      <c r="E7" s="19" t="str">
        <f aca="false">INDEX(Campaigns!$H$6:$H$45,MATCH($C7,Campaigns!$A$6:$A$45,0))</f>
        <v>PAUSED</v>
      </c>
      <c r="F7" s="33" t="n">
        <f aca="false">INDEX(Campaigns!$N$6:$N$45,MATCH($C7,Campaigns!$A$6:$A$45,0))</f>
        <v>71</v>
      </c>
      <c r="G7" s="33" t="n">
        <f aca="false">INDEX(Campaigns!$P$6:$P$45,MATCH($C7,Campaigns!$A$6:$A$45,0))</f>
        <v>0</v>
      </c>
      <c r="H7" s="35" t="n">
        <f aca="false">IF(F7=0,0,G7/F7)</f>
        <v>0</v>
      </c>
      <c r="I7" s="35" t="str">
        <f aca="false">INDEX(Campaigns!$U$6:$U$45,MATCH($C7,Campaigns!$A$6:$A$45,0))</f>
        <v/>
      </c>
      <c r="J7" s="34" t="n">
        <f aca="false">INDEX(Campaigns!$O$6:$O$45,MATCH($C7,Campaigns!$A$6:$A$45,0))</f>
        <v>63.38</v>
      </c>
      <c r="K7" s="19" t="s">
        <v>156</v>
      </c>
      <c r="L7" s="38"/>
      <c r="M7" s="38"/>
    </row>
    <row r="8" customFormat="false" ht="15" hidden="false" customHeight="false" outlineLevel="0" collapsed="false">
      <c r="A8" s="19" t="n">
        <v>5</v>
      </c>
      <c r="B8" s="19" t="s">
        <v>178</v>
      </c>
      <c r="C8" s="32" t="s">
        <v>176</v>
      </c>
      <c r="D8" s="19" t="s">
        <v>416</v>
      </c>
      <c r="E8" s="19" t="str">
        <f aca="false">INDEX(Campaigns!$H$6:$H$45,MATCH($C8,Campaigns!$A$6:$A$45,0))</f>
        <v>PAUSED</v>
      </c>
      <c r="F8" s="33" t="n">
        <f aca="false">INDEX(Campaigns!$N$6:$N$45,MATCH($C8,Campaigns!$A$6:$A$45,0))</f>
        <v>50</v>
      </c>
      <c r="G8" s="33" t="n">
        <f aca="false">INDEX(Campaigns!$P$6:$P$45,MATCH($C8,Campaigns!$A$6:$A$45,0))</f>
        <v>2</v>
      </c>
      <c r="H8" s="35" t="n">
        <f aca="false">IF(F8=0,0,G8/F8)</f>
        <v>0.04</v>
      </c>
      <c r="I8" s="35" t="n">
        <f aca="false">INDEX(Campaigns!$U$6:$U$45,MATCH($C8,Campaigns!$A$6:$A$45,0))</f>
        <v>0.723620522749274</v>
      </c>
      <c r="J8" s="34" t="n">
        <f aca="false">INDEX(Campaigns!$O$6:$O$45,MATCH($C8,Campaigns!$A$6:$A$45,0))</f>
        <v>44.85</v>
      </c>
      <c r="K8" s="19" t="s">
        <v>417</v>
      </c>
      <c r="L8" s="38"/>
      <c r="M8" s="38"/>
    </row>
    <row r="9" customFormat="false" ht="15" hidden="false" customHeight="false" outlineLevel="0" collapsed="false">
      <c r="A9" s="19" t="n">
        <v>6</v>
      </c>
      <c r="B9" s="19" t="s">
        <v>418</v>
      </c>
      <c r="C9" s="32" t="s">
        <v>105</v>
      </c>
      <c r="D9" s="19" t="s">
        <v>419</v>
      </c>
      <c r="E9" s="19" t="str">
        <f aca="false">INDEX(Campaigns!$H$6:$H$45,MATCH($C9,Campaigns!$A$6:$A$45,0))</f>
        <v>ENABLED</v>
      </c>
      <c r="F9" s="33" t="n">
        <f aca="false">INDEX(Campaigns!$N$6:$N$45,MATCH($C9,Campaigns!$A$6:$A$45,0))</f>
        <v>1063</v>
      </c>
      <c r="G9" s="33" t="n">
        <f aca="false">INDEX(Campaigns!$P$6:$P$45,MATCH($C9,Campaigns!$A$6:$A$45,0))</f>
        <v>9</v>
      </c>
      <c r="H9" s="35" t="n">
        <f aca="false">IF(F9=0,0,G9/F9)</f>
        <v>0.00846660395108184</v>
      </c>
      <c r="I9" s="35" t="n">
        <f aca="false">INDEX(Campaigns!$U$6:$U$45,MATCH($C9,Campaigns!$A$6:$A$45,0))</f>
        <v>0.845604609239687</v>
      </c>
      <c r="J9" s="34" t="n">
        <f aca="false">INDEX(Campaigns!$O$6:$O$45,MATCH($C9,Campaigns!$A$6:$A$45,0))</f>
        <v>239.23</v>
      </c>
      <c r="K9" s="19" t="s">
        <v>420</v>
      </c>
      <c r="L9" s="38"/>
      <c r="M9" s="38"/>
    </row>
    <row r="10" customFormat="false" ht="23.85" hidden="false" customHeight="false" outlineLevel="0" collapsed="false">
      <c r="A10" s="19" t="n">
        <v>7</v>
      </c>
      <c r="B10" s="19" t="s">
        <v>118</v>
      </c>
      <c r="C10" s="32" t="s">
        <v>116</v>
      </c>
      <c r="D10" s="19" t="s">
        <v>421</v>
      </c>
      <c r="E10" s="19" t="str">
        <f aca="false">INDEX(Campaigns!$H$6:$H$45,MATCH($C10,Campaigns!$A$6:$A$45,0))</f>
        <v>ENABLED</v>
      </c>
      <c r="F10" s="33" t="n">
        <f aca="false">INDEX(Campaigns!$N$6:$N$45,MATCH($C10,Campaigns!$A$6:$A$45,0))</f>
        <v>476</v>
      </c>
      <c r="G10" s="33" t="n">
        <f aca="false">INDEX(Campaigns!$P$6:$P$45,MATCH($C10,Campaigns!$A$6:$A$45,0))</f>
        <v>5</v>
      </c>
      <c r="H10" s="35" t="n">
        <f aca="false">IF(F10=0,0,G10/F10)</f>
        <v>0.0105042016806723</v>
      </c>
      <c r="I10" s="35" t="n">
        <f aca="false">INDEX(Campaigns!$U$6:$U$45,MATCH($C10,Campaigns!$A$6:$A$45,0))</f>
        <v>1.05319642265651</v>
      </c>
      <c r="J10" s="34" t="n">
        <f aca="false">INDEX(Campaigns!$O$6:$O$45,MATCH($C10,Campaigns!$A$6:$A$45,0))</f>
        <v>158.98</v>
      </c>
      <c r="K10" s="19" t="s">
        <v>422</v>
      </c>
      <c r="L10" s="38"/>
      <c r="M10" s="38"/>
    </row>
    <row r="12" customFormat="false" ht="15" hidden="false" customHeight="false" outlineLevel="0" collapsed="false">
      <c r="A12" s="15" t="s">
        <v>423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C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80"/>
  </cols>
  <sheetData>
    <row r="1" customFormat="false" ht="17.35" hidden="false" customHeight="false" outlineLevel="0" collapsed="false">
      <c r="A1" s="14" t="s">
        <v>424</v>
      </c>
    </row>
    <row r="2" customFormat="false" ht="15" hidden="false" customHeight="false" outlineLevel="0" collapsed="false">
      <c r="A2" s="15" t="s">
        <v>425</v>
      </c>
    </row>
    <row r="4" customFormat="false" ht="30" hidden="false" customHeight="true" outlineLevel="0" collapsed="false">
      <c r="A4" s="5" t="s">
        <v>426</v>
      </c>
      <c r="B4" s="5" t="s">
        <v>427</v>
      </c>
      <c r="C4" s="5" t="s">
        <v>428</v>
      </c>
    </row>
    <row r="5" customFormat="false" ht="15" hidden="false" customHeight="false" outlineLevel="0" collapsed="false">
      <c r="A5" s="39" t="s">
        <v>429</v>
      </c>
      <c r="B5" s="40" t="n">
        <v>25</v>
      </c>
      <c r="C5" s="2" t="s">
        <v>430</v>
      </c>
    </row>
    <row r="6" customFormat="false" ht="15" hidden="false" customHeight="false" outlineLevel="0" collapsed="false">
      <c r="A6" s="39" t="s">
        <v>431</v>
      </c>
      <c r="B6" s="40" t="n">
        <v>175</v>
      </c>
      <c r="C6" s="2" t="s">
        <v>432</v>
      </c>
    </row>
    <row r="7" customFormat="false" ht="15" hidden="false" customHeight="false" outlineLevel="0" collapsed="false">
      <c r="A7" s="39" t="s">
        <v>433</v>
      </c>
      <c r="B7" s="41" t="n">
        <v>0.45</v>
      </c>
      <c r="C7" s="2" t="s">
        <v>434</v>
      </c>
    </row>
    <row r="8" customFormat="false" ht="15" hidden="false" customHeight="false" outlineLevel="0" collapsed="false">
      <c r="A8" s="39" t="s">
        <v>435</v>
      </c>
      <c r="B8" s="41" t="n">
        <v>0.5</v>
      </c>
      <c r="C8" s="2" t="s">
        <v>436</v>
      </c>
    </row>
    <row r="9" customFormat="false" ht="15" hidden="false" customHeight="false" outlineLevel="0" collapsed="false">
      <c r="A9" s="39" t="s">
        <v>437</v>
      </c>
      <c r="B9" s="42" t="n">
        <v>3</v>
      </c>
      <c r="C9" s="2" t="s">
        <v>438</v>
      </c>
    </row>
    <row r="10" customFormat="false" ht="15" hidden="false" customHeight="false" outlineLevel="0" collapsed="false">
      <c r="A10" s="39" t="s">
        <v>439</v>
      </c>
      <c r="B10" s="43" t="n">
        <v>20</v>
      </c>
      <c r="C10" s="2" t="s">
        <v>440</v>
      </c>
    </row>
    <row r="11" customFormat="false" ht="15" hidden="false" customHeight="false" outlineLevel="0" collapsed="false">
      <c r="A11" s="39" t="s">
        <v>441</v>
      </c>
      <c r="B11" s="43" t="n">
        <v>100</v>
      </c>
      <c r="C11" s="2" t="s">
        <v>442</v>
      </c>
    </row>
    <row r="12" customFormat="false" ht="15" hidden="false" customHeight="false" outlineLevel="0" collapsed="false">
      <c r="A12" s="39" t="s">
        <v>443</v>
      </c>
      <c r="B12" s="44" t="n">
        <v>0.04</v>
      </c>
      <c r="C12" s="2" t="s">
        <v>444</v>
      </c>
    </row>
    <row r="13" customFormat="false" ht="15" hidden="false" customHeight="false" outlineLevel="0" collapsed="false">
      <c r="A13" s="39" t="s">
        <v>445</v>
      </c>
      <c r="B13" s="44" t="n">
        <v>0.02</v>
      </c>
      <c r="C13" s="2" t="s">
        <v>446</v>
      </c>
    </row>
    <row r="14" customFormat="false" ht="15" hidden="false" customHeight="false" outlineLevel="0" collapsed="false">
      <c r="A14" s="39" t="s">
        <v>447</v>
      </c>
      <c r="B14" s="45" t="n">
        <v>3</v>
      </c>
      <c r="C14" s="2" t="s">
        <v>448</v>
      </c>
    </row>
    <row r="15" customFormat="false" ht="15" hidden="false" customHeight="false" outlineLevel="0" collapsed="false">
      <c r="A15" s="39" t="s">
        <v>449</v>
      </c>
      <c r="B15" s="41" t="n">
        <v>26.99</v>
      </c>
      <c r="C15" s="2" t="s">
        <v>450</v>
      </c>
    </row>
    <row r="16" customFormat="false" ht="15" hidden="false" customHeight="false" outlineLevel="0" collapsed="false">
      <c r="A16" s="39" t="s">
        <v>451</v>
      </c>
      <c r="B16" s="41" t="n">
        <v>34.99</v>
      </c>
      <c r="C16" s="2" t="s">
        <v>450</v>
      </c>
    </row>
    <row r="17" customFormat="false" ht="15" hidden="false" customHeight="false" outlineLevel="0" collapsed="false">
      <c r="A17" s="39" t="s">
        <v>452</v>
      </c>
      <c r="B17" s="41" t="n">
        <v>3.44</v>
      </c>
      <c r="C17" s="2" t="s">
        <v>453</v>
      </c>
    </row>
    <row r="18" customFormat="false" ht="15" hidden="false" customHeight="false" outlineLevel="0" collapsed="false">
      <c r="A18" s="39" t="s">
        <v>454</v>
      </c>
      <c r="B18" s="41" t="n">
        <v>4.37</v>
      </c>
      <c r="C18" s="2" t="s">
        <v>455</v>
      </c>
    </row>
    <row r="20" customFormat="false" ht="15" hidden="false" customHeight="false" outlineLevel="0" collapsed="false">
      <c r="A20" s="36" t="s">
        <v>456</v>
      </c>
    </row>
    <row r="21" customFormat="false" ht="15" hidden="false" customHeight="false" outlineLevel="0" collapsed="false">
      <c r="A21" s="39" t="s">
        <v>457</v>
      </c>
      <c r="B21" s="46" t="n">
        <f aca="false">Rules!$B$17/Rules!$B$15</f>
        <v>0.127454612819563</v>
      </c>
      <c r="C21" s="2" t="s">
        <v>458</v>
      </c>
    </row>
    <row r="22" customFormat="false" ht="15" hidden="false" customHeight="false" outlineLevel="0" collapsed="false">
      <c r="A22" s="39" t="s">
        <v>459</v>
      </c>
      <c r="B22" s="46" t="n">
        <f aca="false">Rules!$B$18/Rules!$B$16</f>
        <v>0.124892826521863</v>
      </c>
      <c r="C22" s="2" t="s">
        <v>458</v>
      </c>
    </row>
    <row r="23" customFormat="false" ht="15" hidden="false" customHeight="false" outlineLevel="0" collapsed="false">
      <c r="A23" s="39" t="s">
        <v>460</v>
      </c>
      <c r="B23" s="46" t="n">
        <f aca="false">AVERAGE(B21:B22)</f>
        <v>0.126173719670713</v>
      </c>
      <c r="C23" s="2" t="s">
        <v>461</v>
      </c>
    </row>
    <row r="24" customFormat="false" ht="15" hidden="false" customHeight="false" outlineLevel="0" collapsed="false">
      <c r="A24" s="39" t="s">
        <v>462</v>
      </c>
      <c r="B24" s="46" t="n">
        <f aca="false">B23*Rules!$B$14</f>
        <v>0.378521159012139</v>
      </c>
      <c r="C24" s="2" t="s">
        <v>463</v>
      </c>
    </row>
    <row r="25" customFormat="false" ht="15" hidden="false" customHeight="false" outlineLevel="0" collapsed="false">
      <c r="A25" s="39" t="s">
        <v>464</v>
      </c>
      <c r="B25" s="47" t="n">
        <f aca="false">Rules!$B$17*0.01</f>
        <v>0.0344</v>
      </c>
      <c r="C25" s="2" t="s">
        <v>465</v>
      </c>
    </row>
    <row r="26" customFormat="false" ht="15" hidden="false" customHeight="false" outlineLevel="0" collapsed="false">
      <c r="A26" s="39" t="s">
        <v>466</v>
      </c>
      <c r="B26" s="47" t="n">
        <f aca="false">Rules!$B$18*0.01</f>
        <v>0.0437</v>
      </c>
      <c r="C26" s="2" t="s">
        <v>467</v>
      </c>
    </row>
    <row r="27" customFormat="false" ht="15" hidden="false" customHeight="false" outlineLevel="0" collapsed="false">
      <c r="A27" s="39" t="s">
        <v>468</v>
      </c>
      <c r="B27" s="46" t="n">
        <f aca="false">Overview!$C$15/Rules!$B$17</f>
        <v>0.319821525148729</v>
      </c>
      <c r="C27" s="2" t="s">
        <v>469</v>
      </c>
    </row>
    <row r="28" customFormat="false" ht="15" hidden="false" customHeight="false" outlineLevel="0" collapsed="false">
      <c r="A28" s="39" t="s">
        <v>470</v>
      </c>
      <c r="B28" s="46" t="n">
        <f aca="false">Overview!$C$15/Rules!$B$18</f>
        <v>0.251758820712043</v>
      </c>
      <c r="C28" s="2" t="s">
        <v>469</v>
      </c>
    </row>
    <row r="30" customFormat="false" ht="42" hidden="false" customHeight="true" outlineLevel="0" collapsed="false">
      <c r="A30" s="29" t="s">
        <v>471</v>
      </c>
      <c r="B30" s="29"/>
      <c r="C30" s="29"/>
    </row>
  </sheetData>
  <mergeCells count="1">
    <mergeCell ref="A30:C3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2026-10-22T09:50:23Z</dcterms:created>
  <dc:creator>openpyxl</dc:creator>
  <dc:description/>
  <dc:language>en-US</dc:language>
  <cp:lastModifiedBy/>
  <dcterms:modified xsi:type="dcterms:W3CDTF">2026-10-22T09:50:23Z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